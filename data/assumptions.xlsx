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kosltd-my.sharepoint.com/personal/alessia_biris_ekos_co_uk/Documents/TCL/code_dashboard/v2/data/"/>
    </mc:Choice>
  </mc:AlternateContent>
  <xr:revisionPtr revIDLastSave="63" documentId="8_{FA218BAD-3EBA-47B7-9DEF-468792D266E4}" xr6:coauthVersionLast="47" xr6:coauthVersionMax="47" xr10:uidLastSave="{2B13E0E0-1B93-4B0D-BF9F-A584971B8A78}"/>
  <bookViews>
    <workbookView xWindow="7065" yWindow="-14250" windowWidth="19725" windowHeight="14415" firstSheet="7" activeTab="10" xr2:uid="{5C67809F-44A3-4AFA-BBD2-6581972C325D}"/>
  </bookViews>
  <sheets>
    <sheet name="general_parameters" sheetId="1" r:id="rId1"/>
    <sheet name="dwellingbytypology" sheetId="2" r:id="rId2"/>
    <sheet name="pop_employ" sheetId="3" r:id="rId3"/>
    <sheet name="transport_modal" sheetId="4" r:id="rId4"/>
    <sheet name="carbon" sheetId="5" r:id="rId5"/>
    <sheet name="environ_wellbeing" sheetId="6" r:id="rId6"/>
    <sheet name="active_travel" sheetId="7" r:id="rId7"/>
    <sheet name="crime" sheetId="8" r:id="rId8"/>
    <sheet name="economic_coeff" sheetId="9" r:id="rId9"/>
    <sheet name="household_spend" sheetId="10" r:id="rId10"/>
    <sheet name="additionality_mappings" sheetId="11" r:id="rId11"/>
    <sheet name="discounting" sheetId="12" r:id="rId12"/>
    <sheet name="discounting_by_impact" sheetId="13" r:id="rId13"/>
    <sheet name="land_infra_mult" sheetId="14" r:id="rId14"/>
    <sheet name="civic_eng_belong" sheetId="15" r:id="rId15"/>
    <sheet name="commercial_floorspace" sheetId="16" r:id="rId16"/>
    <sheet name="discounting_controls" sheetId="17" r:id="rId17"/>
    <sheet name="land_value_controls" sheetId="18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7" l="1"/>
  <c r="B5" i="14"/>
</calcChain>
</file>

<file path=xl/sharedStrings.xml><?xml version="1.0" encoding="utf-8"?>
<sst xmlns="http://schemas.openxmlformats.org/spreadsheetml/2006/main" count="267" uniqueCount="187">
  <si>
    <t>Parameter</t>
  </si>
  <si>
    <t>Value</t>
  </si>
  <si>
    <t>Units</t>
  </si>
  <si>
    <t>Source / note</t>
  </si>
  <si>
    <t>Value of time</t>
  </si>
  <si>
    <t>£/hour</t>
  </si>
  <si>
    <t>HM Treasury Green Book non-work time</t>
  </si>
  <si>
    <t>Car operating cost</t>
  </si>
  <si>
    <t>£/km</t>
  </si>
  <si>
    <t>Model default incl. fuel and running costs</t>
  </si>
  <si>
    <t>Trips per person per day</t>
  </si>
  <si>
    <t>trips/day</t>
  </si>
  <si>
    <t>Transport Scotland</t>
  </si>
  <si>
    <t>Journey distance reduction</t>
  </si>
  <si>
    <t>%</t>
  </si>
  <si>
    <t>Central TCL assumption</t>
  </si>
  <si>
    <t>Car ownership reduction</t>
  </si>
  <si>
    <t>% of households with 1+ car</t>
  </si>
  <si>
    <t>Updated TCL assumption</t>
  </si>
  <si>
    <t>Life satisfaction value</t>
  </si>
  <si>
    <t>£ per LS point per year</t>
  </si>
  <si>
    <t>Green Book wellbeing</t>
  </si>
  <si>
    <t>QALY value</t>
  </si>
  <si>
    <t>£ per QALY</t>
  </si>
  <si>
    <t>Central</t>
  </si>
  <si>
    <t>Typology</t>
  </si>
  <si>
    <t>Floorspace m2</t>
  </si>
  <si>
    <t>Persons Per Dwelling - Social/affordable</t>
  </si>
  <si>
    <t>Council Tax per unit</t>
  </si>
  <si>
    <t>Rent per social/MMR unit</t>
  </si>
  <si>
    <t>Private disposable income</t>
  </si>
  <si>
    <t>Social/affordable disposable income</t>
  </si>
  <si>
    <t>Detached (3–5 bed)</t>
  </si>
  <si>
    <t>Low-rise flats (2–4 storey)</t>
  </si>
  <si>
    <t>Private</t>
  </si>
  <si>
    <t>Social/affordable</t>
  </si>
  <si>
    <t>Children share</t>
  </si>
  <si>
    <t>Working age share</t>
  </si>
  <si>
    <t>65+ share</t>
  </si>
  <si>
    <t>Employment rate</t>
  </si>
  <si>
    <t>Households with 1+ car</t>
  </si>
  <si>
    <t>Mode</t>
  </si>
  <si>
    <t>Baseline share</t>
  </si>
  <si>
    <t>TCL Good</t>
  </si>
  <si>
    <t>TCL Average</t>
  </si>
  <si>
    <t>TCL Limited</t>
  </si>
  <si>
    <t>Baseline km</t>
  </si>
  <si>
    <t>Emission factor kgCO2e/pkm</t>
  </si>
  <si>
    <t>Speed km/h</t>
  </si>
  <si>
    <t>Walking</t>
  </si>
  <si>
    <t>Driver car / van</t>
  </si>
  <si>
    <t>Passenger car / van</t>
  </si>
  <si>
    <t>Bicycle</t>
  </si>
  <si>
    <t>Bus</t>
  </si>
  <si>
    <t>Taxi / PHV</t>
  </si>
  <si>
    <t>Rail</t>
  </si>
  <si>
    <t>Other</t>
  </si>
  <si>
    <t>Development type</t>
  </si>
  <si>
    <t>Low upfront</t>
  </si>
  <si>
    <t>Medium upfront</t>
  </si>
  <si>
    <t>High upfront</t>
  </si>
  <si>
    <t>Baseline comparator</t>
  </si>
  <si>
    <t>End of life factor</t>
  </si>
  <si>
    <t>Retrofit development</t>
  </si>
  <si>
    <t>New build development</t>
  </si>
  <si>
    <t xml:space="preserve">Mix of retrofit and new build </t>
  </si>
  <si>
    <t>Lower scale impact</t>
  </si>
  <si>
    <t>Central impact</t>
  </si>
  <si>
    <t>Higher scale impact</t>
  </si>
  <si>
    <t>Brownfield / gap site LS</t>
  </si>
  <si>
    <t>LS points</t>
  </si>
  <si>
    <t>Vacant units LS</t>
  </si>
  <si>
    <t>QALY uplift - newly active</t>
  </si>
  <si>
    <t>QALYs</t>
  </si>
  <si>
    <t>QALY uplift - already active</t>
  </si>
  <si>
    <t>Accessibility</t>
  </si>
  <si>
    <t>Walking uplift</t>
  </si>
  <si>
    <t>Cycling uplift</t>
  </si>
  <si>
    <t>Minutes uplift</t>
  </si>
  <si>
    <t>Baseline meeting 150 mins (high deprivation)</t>
  </si>
  <si>
    <t>Baseline meeting 150 mins (average deprivation)</t>
  </si>
  <si>
    <t>Baseline meeting 150 mins (low deprivation)</t>
  </si>
  <si>
    <t>Good</t>
  </si>
  <si>
    <t>Average</t>
  </si>
  <si>
    <t>Limited / poor</t>
  </si>
  <si>
    <t>Category</t>
  </si>
  <si>
    <t>Rate per 1,000</t>
  </si>
  <si>
    <t>Cost per incident</t>
  </si>
  <si>
    <t>Reduction rate</t>
  </si>
  <si>
    <t>Violence</t>
  </si>
  <si>
    <t>Theft</t>
  </si>
  <si>
    <t>Criminal damage</t>
  </si>
  <si>
    <t>ASB</t>
  </si>
  <si>
    <t>Average turnover per job</t>
  </si>
  <si>
    <t>£</t>
  </si>
  <si>
    <t>GVA to turnover ratio</t>
  </si>
  <si>
    <t>Construction capex per PYE job</t>
  </si>
  <si>
    <t>Construction GVA to capex ratio</t>
  </si>
  <si>
    <t>Type 2 multiplier - Low</t>
  </si>
  <si>
    <t>x</t>
  </si>
  <si>
    <t>Type 2 multiplier - Central</t>
  </si>
  <si>
    <t>Type 2 multiplier - High</t>
  </si>
  <si>
    <t>Typology / tenure</t>
  </si>
  <si>
    <t>Upper</t>
  </si>
  <si>
    <t>Lower</t>
  </si>
  <si>
    <t>Private detached</t>
  </si>
  <si>
    <t>£/hh</t>
  </si>
  <si>
    <t>Private semi/terrace</t>
  </si>
  <si>
    <t>Private low-rise flat</t>
  </si>
  <si>
    <t>Private higher density flat</t>
  </si>
  <si>
    <t>Private older persons</t>
  </si>
  <si>
    <t>Social detached</t>
  </si>
  <si>
    <t>Social semi/terrace</t>
  </si>
  <si>
    <t>Social low-rise flat</t>
  </si>
  <si>
    <t>Social higher density flat</t>
  </si>
  <si>
    <t>Social older persons</t>
  </si>
  <si>
    <t>Group</t>
  </si>
  <si>
    <t>Scenario</t>
  </si>
  <si>
    <t>Deadweight</t>
  </si>
  <si>
    <t>Displacement</t>
  </si>
  <si>
    <t>Leakage</t>
  </si>
  <si>
    <t>Multiplier</t>
  </si>
  <si>
    <t>Environmental / social</t>
  </si>
  <si>
    <t>High</t>
  </si>
  <si>
    <t>Moderate</t>
  </si>
  <si>
    <t>Low</t>
  </si>
  <si>
    <t>Economic</t>
  </si>
  <si>
    <t>Construction</t>
  </si>
  <si>
    <t>Fiscal</t>
  </si>
  <si>
    <t xml:space="preserve">Public infrastructure  - default for all </t>
  </si>
  <si>
    <t>years</t>
  </si>
  <si>
    <t>Discount rate - central</t>
  </si>
  <si>
    <t>rate</t>
  </si>
  <si>
    <t>HM Treasury standard rate</t>
  </si>
  <si>
    <t>Discount rate - social</t>
  </si>
  <si>
    <t>HM Treasury social rate</t>
  </si>
  <si>
    <t>Health, wellbeing and LS-based social value</t>
  </si>
  <si>
    <t>Apply 1.5% over 10 years</t>
  </si>
  <si>
    <t>Other monetised social / environmental impacts</t>
  </si>
  <si>
    <t>Apply 3.5% over 10 years</t>
  </si>
  <si>
    <t>One-off impacts</t>
  </si>
  <si>
    <t>Treated as year 0 in NPV summary</t>
  </si>
  <si>
    <t>Average developer return on cost</t>
  </si>
  <si>
    <t>Default for land value uplift</t>
  </si>
  <si>
    <t>Average capital cost per unit for public sector infrastructure - baseline</t>
  </si>
  <si>
    <t>£ / unit</t>
  </si>
  <si>
    <t>Model assumption from user update</t>
  </si>
  <si>
    <t>Average capital cost for public sector infrastructure - TCL investment</t>
  </si>
  <si>
    <t>Avoided capital cost per unit for public sector infrastructure</t>
  </si>
  <si>
    <t>Derived from baseline minus TCL</t>
  </si>
  <si>
    <t>Default multipliers</t>
  </si>
  <si>
    <t>Economic impacts multiplier</t>
  </si>
  <si>
    <t>Updated default multiplier</t>
  </si>
  <si>
    <t>Construction impacts multiplier</t>
  </si>
  <si>
    <t>Unit</t>
  </si>
  <si>
    <t>Belonging - full impact share</t>
  </si>
  <si>
    <t>Residents with full sense-of-belonging impact</t>
  </si>
  <si>
    <t>Belonging - partial impact share</t>
  </si>
  <si>
    <t>Residents with partial sense-of-belonging impact</t>
  </si>
  <si>
    <t>Belonging - partial impact weighting</t>
  </si>
  <si>
    <t>weight</t>
  </si>
  <si>
    <t>Weight applied to residents with partial impact</t>
  </si>
  <si>
    <t>Floorspace density</t>
  </si>
  <si>
    <t>Avg GVA per FTE job</t>
  </si>
  <si>
    <t>Note</t>
  </si>
  <si>
    <t>Retail and Town Centre Services</t>
  </si>
  <si>
    <t>Density placeholder retained from existing model pending category-specific values</t>
  </si>
  <si>
    <t>Food and Beverage / Hospitality</t>
  </si>
  <si>
    <t>Office / Workspace</t>
  </si>
  <si>
    <t>Community and Civic Uses</t>
  </si>
  <si>
    <t>Leisure, Culture and Visitor Economy</t>
  </si>
  <si>
    <t>Discount rate - 3.5%</t>
  </si>
  <si>
    <t>Discount rate - 1.5%</t>
  </si>
  <si>
    <t>PV factor check (3.5%)</t>
  </si>
  <si>
    <t>Average capital cost per unit for public sector infrastructure - baseline (£)</t>
  </si>
  <si>
    <t>Average capital cost for public sector infrastructure - TCL investment (£)</t>
  </si>
  <si>
    <t>Avoided capital cost per unit for public sector infrastructure (£)</t>
  </si>
  <si>
    <t>Impact</t>
  </si>
  <si>
    <t>Notes</t>
  </si>
  <si>
    <t>Source</t>
  </si>
  <si>
    <t>Years</t>
  </si>
  <si>
    <t>Semi-detached / Terrace</t>
  </si>
  <si>
    <t>Higher density flats (5 plus storeys)</t>
  </si>
  <si>
    <t>Older Persons / Specialist</t>
  </si>
  <si>
    <t>Persons Per Dwelling - Private</t>
  </si>
  <si>
    <t>Fiscal default for leakage</t>
  </si>
  <si>
    <t>Land value default for leakage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</si>
</sst>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\£#,##0;[Red]&quot;(£&quot;#,##0\);\-"/>
    <numFmt numFmtId="165" formatCode="#,##0.0;[Red]\(#,##0.0\);\-"/>
    <numFmt numFmtId="166" formatCode="0.0%;[Red]\(0.0%\);\-"/>
    <numFmt numFmtId="167" formatCode="0.0000"/>
    <numFmt numFmtId="168" formatCode="0.00%;[Red]\(0.00%\);\-"/>
    <numFmt numFmtId="169" formatCode="0.0\x"/>
    <numFmt numFmtId="170" formatCode="0.0%"/>
    <numFmt numFmtId="171" formatCode="0.000"/>
    <numFmt numFmtId="172" formatCode="0.0"/>
  </numFmts>
  <fonts count="4" x14ac:knownFonts="1">
    <font>
      <sz val="11"/>
      <color theme="1"/>
      <name val="Aptos Narrow"/>
      <family val="2"/>
      <scheme val="minor"/>
    </font>
    <font>
      <b/>
      <sz val="11"/>
      <name val="Avenir Next LT Pro"/>
      <family val="2"/>
    </font>
    <font>
      <sz val="11"/>
      <color theme="1"/>
      <name val="Avenir Next LT Pro"/>
      <family val="2"/>
    </font>
    <font>
      <sz val="11"/>
      <color rgb="FF666666"/>
      <name val="Avenir Next LT Pro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CE6F1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164" fontId="3" fillId="2" borderId="1" xfId="0" applyNumberFormat="1" applyFont="1" applyFill="1" applyBorder="1" applyAlignment="1">
      <alignment horizontal="right" vertical="center" wrapText="1"/>
    </xf>
    <xf numFmtId="0" fontId="2" fillId="0" borderId="1" xfId="0" applyFont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 wrapText="1"/>
    </xf>
    <xf numFmtId="166" fontId="3" fillId="2" borderId="1" xfId="0" applyNumberFormat="1" applyFont="1" applyFill="1" applyBorder="1" applyAlignment="1">
      <alignment horizontal="righ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164" fontId="3" fillId="2" borderId="8" xfId="0" applyNumberFormat="1" applyFont="1" applyFill="1" applyBorder="1" applyAlignment="1">
      <alignment horizontal="righ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top" wrapText="1"/>
    </xf>
    <xf numFmtId="164" fontId="3" fillId="2" borderId="3" xfId="0" applyNumberFormat="1" applyFont="1" applyFill="1" applyBorder="1" applyAlignment="1">
      <alignment horizontal="right" vertical="center" wrapText="1"/>
    </xf>
    <xf numFmtId="165" fontId="3" fillId="2" borderId="8" xfId="0" applyNumberFormat="1" applyFont="1" applyFill="1" applyBorder="1" applyAlignment="1">
      <alignment horizontal="right" vertical="center" wrapText="1"/>
    </xf>
    <xf numFmtId="164" fontId="3" fillId="2" borderId="9" xfId="0" applyNumberFormat="1" applyFont="1" applyFill="1" applyBorder="1" applyAlignment="1">
      <alignment horizontal="right" vertical="center" wrapText="1"/>
    </xf>
    <xf numFmtId="166" fontId="3" fillId="2" borderId="8" xfId="0" applyNumberFormat="1" applyFont="1" applyFill="1" applyBorder="1" applyAlignment="1">
      <alignment horizontal="right" vertical="center" wrapText="1"/>
    </xf>
    <xf numFmtId="165" fontId="3" fillId="2" borderId="3" xfId="0" applyNumberFormat="1" applyFont="1" applyFill="1" applyBorder="1" applyAlignment="1">
      <alignment horizontal="right" vertical="center" wrapText="1"/>
    </xf>
    <xf numFmtId="165" fontId="3" fillId="2" borderId="9" xfId="0" applyNumberFormat="1" applyFont="1" applyFill="1" applyBorder="1" applyAlignment="1">
      <alignment horizontal="right" vertical="center" wrapText="1"/>
    </xf>
    <xf numFmtId="166" fontId="3" fillId="2" borderId="3" xfId="0" applyNumberFormat="1" applyFont="1" applyFill="1" applyBorder="1" applyAlignment="1">
      <alignment horizontal="right" vertical="center" wrapText="1"/>
    </xf>
    <xf numFmtId="166" fontId="3" fillId="2" borderId="9" xfId="0" applyNumberFormat="1" applyFont="1" applyFill="1" applyBorder="1" applyAlignment="1">
      <alignment horizontal="right" vertical="center" wrapText="1"/>
    </xf>
    <xf numFmtId="167" fontId="3" fillId="2" borderId="1" xfId="0" applyNumberFormat="1" applyFont="1" applyFill="1" applyBorder="1" applyAlignment="1">
      <alignment horizontal="right" vertical="center" wrapText="1"/>
    </xf>
    <xf numFmtId="167" fontId="3" fillId="2" borderId="1" xfId="0" applyNumberFormat="1" applyFont="1" applyFill="1" applyBorder="1" applyAlignment="1">
      <alignment horizontal="left" vertical="center" wrapText="1"/>
    </xf>
    <xf numFmtId="167" fontId="3" fillId="2" borderId="8" xfId="0" applyNumberFormat="1" applyFont="1" applyFill="1" applyBorder="1" applyAlignment="1">
      <alignment horizontal="right" vertical="center" wrapText="1"/>
    </xf>
    <xf numFmtId="167" fontId="3" fillId="2" borderId="8" xfId="0" applyNumberFormat="1" applyFont="1" applyFill="1" applyBorder="1" applyAlignment="1">
      <alignment horizontal="left" vertical="center" wrapText="1"/>
    </xf>
    <xf numFmtId="168" fontId="3" fillId="2" borderId="3" xfId="0" applyNumberFormat="1" applyFont="1" applyFill="1" applyBorder="1" applyAlignment="1">
      <alignment horizontal="right" vertical="center" wrapText="1"/>
    </xf>
    <xf numFmtId="168" fontId="3" fillId="2" borderId="9" xfId="0" applyNumberFormat="1" applyFont="1" applyFill="1" applyBorder="1" applyAlignment="1">
      <alignment horizontal="right" vertical="center" wrapText="1"/>
    </xf>
    <xf numFmtId="169" fontId="3" fillId="2" borderId="1" xfId="0" applyNumberFormat="1" applyFont="1" applyFill="1" applyBorder="1" applyAlignment="1">
      <alignment horizontal="right" vertical="center" wrapText="1"/>
    </xf>
    <xf numFmtId="169" fontId="3" fillId="2" borderId="8" xfId="0" applyNumberFormat="1" applyFont="1" applyFill="1" applyBorder="1" applyAlignment="1">
      <alignment horizontal="right" vertical="center" wrapText="1"/>
    </xf>
    <xf numFmtId="169" fontId="3" fillId="2" borderId="3" xfId="0" applyNumberFormat="1" applyFont="1" applyFill="1" applyBorder="1" applyAlignment="1">
      <alignment horizontal="right" vertical="center" wrapText="1"/>
    </xf>
    <xf numFmtId="0" fontId="2" fillId="0" borderId="1" xfId="0" applyFont="1" applyBorder="1" applyAlignment="1">
      <alignment wrapText="1"/>
    </xf>
    <xf numFmtId="170" fontId="2" fillId="0" borderId="1" xfId="0" applyNumberFormat="1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1" fontId="2" fillId="0" borderId="5" xfId="0" applyNumberFormat="1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170" fontId="2" fillId="0" borderId="8" xfId="0" applyNumberFormat="1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170" fontId="2" fillId="0" borderId="10" xfId="0" applyNumberFormat="1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0" borderId="12" xfId="0" applyFont="1" applyBorder="1" applyAlignment="1">
      <alignment wrapText="1"/>
    </xf>
    <xf numFmtId="170" fontId="2" fillId="0" borderId="5" xfId="0" applyNumberFormat="1" applyFont="1" applyBorder="1" applyAlignment="1">
      <alignment wrapText="1"/>
    </xf>
    <xf numFmtId="9" fontId="2" fillId="0" borderId="1" xfId="0" applyNumberFormat="1" applyFont="1" applyBorder="1" applyAlignment="1">
      <alignment wrapText="1"/>
    </xf>
    <xf numFmtId="164" fontId="2" fillId="0" borderId="1" xfId="0" applyNumberFormat="1" applyFont="1" applyBorder="1" applyAlignment="1">
      <alignment wrapText="1"/>
    </xf>
    <xf numFmtId="171" fontId="2" fillId="0" borderId="1" xfId="0" applyNumberFormat="1" applyFont="1" applyBorder="1" applyAlignment="1">
      <alignment wrapText="1"/>
    </xf>
    <xf numFmtId="9" fontId="2" fillId="0" borderId="5" xfId="0" applyNumberFormat="1" applyFont="1" applyBorder="1" applyAlignment="1">
      <alignment wrapText="1"/>
    </xf>
    <xf numFmtId="171" fontId="2" fillId="0" borderId="8" xfId="0" applyNumberFormat="1" applyFont="1" applyBorder="1" applyAlignment="1">
      <alignment wrapText="1"/>
    </xf>
    <xf numFmtId="172" fontId="2" fillId="0" borderId="1" xfId="0" applyNumberFormat="1" applyFont="1" applyBorder="1" applyAlignment="1">
      <alignment wrapText="1"/>
    </xf>
    <xf numFmtId="172" fontId="2" fillId="0" borderId="8" xfId="0" applyNumberFormat="1" applyFont="1" applyBorder="1" applyAlignment="1">
      <alignment wrapText="1"/>
    </xf>
    <xf numFmtId="164" fontId="2" fillId="0" borderId="8" xfId="0" applyNumberFormat="1" applyFont="1" applyBorder="1" applyAlignment="1">
      <alignment wrapText="1"/>
    </xf>
    <xf numFmtId="0" fontId="2" fillId="0" borderId="2" xfId="0" applyFont="1" applyBorder="1"/>
    <xf numFmtId="170" fontId="2" fillId="0" borderId="3" xfId="0" applyNumberFormat="1" applyFont="1" applyBorder="1"/>
    <xf numFmtId="0" fontId="2" fillId="0" borderId="4" xfId="0" applyFont="1" applyBorder="1"/>
    <xf numFmtId="1" fontId="2" fillId="0" borderId="6" xfId="0" applyNumberFormat="1" applyFont="1" applyBorder="1"/>
    <xf numFmtId="0" fontId="2" fillId="0" borderId="7" xfId="0" applyFont="1" applyBorder="1"/>
    <xf numFmtId="171" fontId="2" fillId="0" borderId="9" xfId="0" applyNumberFormat="1" applyFont="1" applyBorder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15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numFmt numFmtId="164" formatCode="\£#,##0;[Red]&quot;(£&quot;#,##0\)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</dxf>
    <dxf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numFmt numFmtId="164" formatCode="\£#,##0;[Red]&quot;(£&quot;#,##0\);\-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numFmt numFmtId="172" formatCode="0.0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numFmt numFmtId="170" formatCode="0.0%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66666"/>
        <name val="Avenir Next LT Pro"/>
        <family val="2"/>
        <scheme val="none"/>
      </font>
      <numFmt numFmtId="169" formatCode="0.0\x"/>
      <fill>
        <patternFill patternType="solid">
          <fgColor indexed="64"/>
          <bgColor rgb="FFF2F2F2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66666"/>
        <name val="Avenir Next LT Pro"/>
        <family val="2"/>
        <scheme val="none"/>
      </font>
      <numFmt numFmtId="166" formatCode="0.0%;[Red]\(0.0%\);\-"/>
      <fill>
        <patternFill patternType="solid">
          <fgColor indexed="64"/>
          <bgColor rgb="FFF2F2F2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66666"/>
        <name val="Avenir Next LT Pro"/>
        <family val="2"/>
        <scheme val="none"/>
      </font>
      <numFmt numFmtId="166" formatCode="0.0%;[Red]\(0.0%\);\-"/>
      <fill>
        <patternFill patternType="solid">
          <fgColor indexed="64"/>
          <bgColor rgb="FFF2F2F2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66666"/>
        <name val="Avenir Next LT Pro"/>
        <family val="2"/>
        <scheme val="none"/>
      </font>
      <numFmt numFmtId="166" formatCode="0.0%;[Red]\(0.0%\);\-"/>
      <fill>
        <patternFill patternType="solid">
          <fgColor indexed="64"/>
          <bgColor rgb="FFF2F2F2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66666"/>
        <name val="Avenir Next LT Pro"/>
        <family val="2"/>
        <scheme val="none"/>
      </font>
      <fill>
        <patternFill patternType="solid">
          <fgColor indexed="64"/>
          <bgColor rgb="FFF2F2F2"/>
        </patternFill>
      </fill>
      <alignment horizontal="right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venir Next LT Pro"/>
        <family val="2"/>
        <scheme val="none"/>
      </font>
      <fill>
        <patternFill patternType="solid">
          <fgColor indexed="64"/>
          <bgColor rgb="FFDCE6F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66666"/>
        <name val="Avenir Next LT Pro"/>
        <family val="2"/>
        <scheme val="none"/>
      </font>
      <numFmt numFmtId="164" formatCode="\£#,##0;[Red]&quot;(£&quot;#,##0\);\-"/>
      <fill>
        <patternFill patternType="solid">
          <fgColor indexed="64"/>
          <bgColor rgb="FFF2F2F2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66666"/>
        <name val="Avenir Next LT Pro"/>
        <family val="2"/>
        <scheme val="none"/>
      </font>
      <numFmt numFmtId="164" formatCode="\£#,##0;[Red]&quot;(£&quot;#,##0\);\-"/>
      <fill>
        <patternFill patternType="solid">
          <fgColor indexed="64"/>
          <bgColor rgb="FFF2F2F2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66666"/>
        <name val="Avenir Next LT Pro"/>
        <family val="2"/>
        <scheme val="none"/>
      </font>
      <numFmt numFmtId="164" formatCode="\£#,##0;[Red]&quot;(£&quot;#,##0\);\-"/>
      <fill>
        <patternFill patternType="solid">
          <fgColor indexed="64"/>
          <bgColor rgb="FFF2F2F2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66666"/>
        <name val="Avenir Next LT Pro"/>
        <family val="2"/>
        <scheme val="none"/>
      </font>
      <fill>
        <patternFill patternType="solid">
          <fgColor indexed="64"/>
          <bgColor rgb="FFF2F2F2"/>
        </patternFill>
      </fill>
      <alignment horizontal="right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venir Next LT Pro"/>
        <family val="2"/>
        <scheme val="none"/>
      </font>
      <fill>
        <patternFill patternType="solid">
          <fgColor indexed="64"/>
          <bgColor rgb="FFDCE6F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66666"/>
        <name val="Avenir Next LT Pro"/>
        <family val="2"/>
        <scheme val="none"/>
      </font>
      <numFmt numFmtId="169" formatCode="0.0\x"/>
      <fill>
        <patternFill patternType="solid">
          <fgColor indexed="64"/>
          <bgColor rgb="FFF2F2F2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venir Next LT Pro"/>
        <family val="2"/>
        <scheme val="none"/>
      </font>
      <fill>
        <patternFill patternType="solid">
          <fgColor indexed="64"/>
          <bgColor rgb="FFDCE6F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66666"/>
        <name val="Avenir Next LT Pro"/>
        <family val="2"/>
        <scheme val="none"/>
      </font>
      <numFmt numFmtId="168" formatCode="0.00%;[Red]\(0.00%\);\-"/>
      <fill>
        <patternFill patternType="solid">
          <fgColor indexed="64"/>
          <bgColor rgb="FFF2F2F2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66666"/>
        <name val="Avenir Next LT Pro"/>
        <family val="2"/>
        <scheme val="none"/>
      </font>
      <numFmt numFmtId="164" formatCode="\£#,##0;[Red]&quot;(£&quot;#,##0\);\-"/>
      <fill>
        <patternFill patternType="solid">
          <fgColor indexed="64"/>
          <bgColor rgb="FFF2F2F2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66666"/>
        <name val="Avenir Next LT Pro"/>
        <family val="2"/>
        <scheme val="none"/>
      </font>
      <numFmt numFmtId="165" formatCode="#,##0.0;[Red]\(#,##0.0\);\-"/>
      <fill>
        <patternFill patternType="solid">
          <fgColor indexed="64"/>
          <bgColor rgb="FFF2F2F2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venir Next LT Pro"/>
        <family val="2"/>
        <scheme val="none"/>
      </font>
      <fill>
        <patternFill patternType="solid">
          <fgColor indexed="64"/>
          <bgColor rgb="FFDCE6F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66666"/>
        <name val="Avenir Next LT Pro"/>
        <family val="2"/>
        <scheme val="none"/>
      </font>
      <numFmt numFmtId="166" formatCode="0.0%;[Red]\(0.0%\);\-"/>
      <fill>
        <patternFill patternType="solid">
          <fgColor indexed="64"/>
          <bgColor rgb="FFF2F2F2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66666"/>
        <name val="Avenir Next LT Pro"/>
        <family val="2"/>
        <scheme val="none"/>
      </font>
      <numFmt numFmtId="166" formatCode="0.0%;[Red]\(0.0%\);\-"/>
      <fill>
        <patternFill patternType="solid">
          <fgColor indexed="64"/>
          <bgColor rgb="FFF2F2F2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66666"/>
        <name val="Avenir Next LT Pro"/>
        <family val="2"/>
        <scheme val="none"/>
      </font>
      <numFmt numFmtId="166" formatCode="0.0%;[Red]\(0.0%\);\-"/>
      <fill>
        <patternFill patternType="solid">
          <fgColor indexed="64"/>
          <bgColor rgb="FFF2F2F2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66666"/>
        <name val="Avenir Next LT Pro"/>
        <family val="2"/>
        <scheme val="none"/>
      </font>
      <numFmt numFmtId="165" formatCode="#,##0.0;[Red]\(#,##0.0\);\-"/>
      <fill>
        <patternFill patternType="solid">
          <fgColor indexed="64"/>
          <bgColor rgb="FFF2F2F2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66666"/>
        <name val="Avenir Next LT Pro"/>
        <family val="2"/>
        <scheme val="none"/>
      </font>
      <numFmt numFmtId="166" formatCode="0.0%;[Red]\(0.0%\);\-"/>
      <fill>
        <patternFill patternType="solid">
          <fgColor indexed="64"/>
          <bgColor rgb="FFF2F2F2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66666"/>
        <name val="Avenir Next LT Pro"/>
        <family val="2"/>
        <scheme val="none"/>
      </font>
      <numFmt numFmtId="166" formatCode="0.0%;[Red]\(0.0%\);\-"/>
      <fill>
        <patternFill patternType="solid">
          <fgColor indexed="64"/>
          <bgColor rgb="FFF2F2F2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66666"/>
        <name val="Avenir Next LT Pro"/>
        <family val="2"/>
        <scheme val="none"/>
      </font>
      <fill>
        <patternFill patternType="solid">
          <fgColor indexed="64"/>
          <bgColor rgb="FFF2F2F2"/>
        </patternFill>
      </fill>
      <alignment horizontal="right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venir Next LT Pro"/>
        <family val="2"/>
        <scheme val="none"/>
      </font>
      <fill>
        <patternFill patternType="solid">
          <fgColor indexed="64"/>
          <bgColor rgb="FFDCE6F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66666"/>
        <name val="Avenir Next LT Pro"/>
        <family val="2"/>
        <scheme val="none"/>
      </font>
      <numFmt numFmtId="167" formatCode="0.0000"/>
      <fill>
        <patternFill patternType="solid">
          <fgColor indexed="64"/>
          <bgColor rgb="FFF2F2F2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venir Next LT Pro"/>
        <family val="2"/>
        <scheme val="none"/>
      </font>
      <fill>
        <patternFill patternType="solid">
          <fgColor indexed="64"/>
          <bgColor rgb="FFDCE6F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66666"/>
        <name val="Avenir Next LT Pro"/>
        <family val="2"/>
        <scheme val="none"/>
      </font>
      <numFmt numFmtId="166" formatCode="0.0%;[Red]\(0.0%\);\-"/>
      <fill>
        <patternFill patternType="solid">
          <fgColor indexed="64"/>
          <bgColor rgb="FFF2F2F2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66666"/>
        <name val="Avenir Next LT Pro"/>
        <family val="2"/>
        <scheme val="none"/>
      </font>
      <numFmt numFmtId="165" formatCode="#,##0.0;[Red]\(#,##0.0\);\-"/>
      <fill>
        <patternFill patternType="solid">
          <fgColor indexed="64"/>
          <bgColor rgb="FFF2F2F2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66666"/>
        <name val="Avenir Next LT Pro"/>
        <family val="2"/>
        <scheme val="none"/>
      </font>
      <numFmt numFmtId="165" formatCode="#,##0.0;[Red]\(#,##0.0\);\-"/>
      <fill>
        <patternFill patternType="solid">
          <fgColor indexed="64"/>
          <bgColor rgb="FFF2F2F2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66666"/>
        <name val="Avenir Next LT Pro"/>
        <family val="2"/>
        <scheme val="none"/>
      </font>
      <numFmt numFmtId="165" formatCode="#,##0.0;[Red]\(#,##0.0\);\-"/>
      <fill>
        <patternFill patternType="solid">
          <fgColor indexed="64"/>
          <bgColor rgb="FFF2F2F2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66666"/>
        <name val="Avenir Next LT Pro"/>
        <family val="2"/>
        <scheme val="none"/>
      </font>
      <numFmt numFmtId="165" formatCode="#,##0.0;[Red]\(#,##0.0\);\-"/>
      <fill>
        <patternFill patternType="solid">
          <fgColor indexed="64"/>
          <bgColor rgb="FFF2F2F2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66666"/>
        <name val="Avenir Next LT Pro"/>
        <family val="2"/>
        <scheme val="none"/>
      </font>
      <fill>
        <patternFill patternType="solid">
          <fgColor indexed="64"/>
          <bgColor rgb="FFF2F2F2"/>
        </patternFill>
      </fill>
      <alignment horizontal="right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venir Next LT Pro"/>
        <family val="2"/>
        <scheme val="none"/>
      </font>
      <fill>
        <patternFill patternType="solid">
          <fgColor indexed="64"/>
          <bgColor rgb="FFDCE6F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66666"/>
        <name val="Avenir Next LT Pro"/>
        <family val="2"/>
        <scheme val="none"/>
      </font>
      <numFmt numFmtId="165" formatCode="#,##0.0;[Red]\(#,##0.0\);\-"/>
      <fill>
        <patternFill patternType="solid">
          <fgColor indexed="64"/>
          <bgColor rgb="FFF2F2F2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66666"/>
        <name val="Avenir Next LT Pro"/>
        <family val="2"/>
        <scheme val="none"/>
      </font>
      <numFmt numFmtId="165" formatCode="#,##0.0;[Red]\(#,##0.0\);\-"/>
      <fill>
        <patternFill patternType="solid">
          <fgColor indexed="64"/>
          <bgColor rgb="FFF2F2F2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66666"/>
        <name val="Avenir Next LT Pro"/>
        <family val="2"/>
        <scheme val="none"/>
      </font>
      <numFmt numFmtId="165" formatCode="#,##0.0;[Red]\(#,##0.0\);\-"/>
      <fill>
        <patternFill patternType="solid">
          <fgColor indexed="64"/>
          <bgColor rgb="FFF2F2F2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66666"/>
        <name val="Avenir Next LT Pro"/>
        <family val="2"/>
        <scheme val="none"/>
      </font>
      <numFmt numFmtId="166" formatCode="0.0%;[Red]\(0.0%\);\-"/>
      <fill>
        <patternFill patternType="solid">
          <fgColor indexed="64"/>
          <bgColor rgb="FFF2F2F2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66666"/>
        <name val="Avenir Next LT Pro"/>
        <family val="2"/>
        <scheme val="none"/>
      </font>
      <numFmt numFmtId="166" formatCode="0.0%;[Red]\(0.0%\);\-"/>
      <fill>
        <patternFill patternType="solid">
          <fgColor indexed="64"/>
          <bgColor rgb="FFF2F2F2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66666"/>
        <name val="Avenir Next LT Pro"/>
        <family val="2"/>
        <scheme val="none"/>
      </font>
      <numFmt numFmtId="166" formatCode="0.0%;[Red]\(0.0%\);\-"/>
      <fill>
        <patternFill patternType="solid">
          <fgColor indexed="64"/>
          <bgColor rgb="FFF2F2F2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66666"/>
        <name val="Avenir Next LT Pro"/>
        <family val="2"/>
        <scheme val="none"/>
      </font>
      <numFmt numFmtId="166" formatCode="0.0%;[Red]\(0.0%\);\-"/>
      <fill>
        <patternFill patternType="solid">
          <fgColor indexed="64"/>
          <bgColor rgb="FFF2F2F2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66666"/>
        <name val="Avenir Next LT Pro"/>
        <family val="2"/>
        <scheme val="none"/>
      </font>
      <fill>
        <patternFill patternType="solid">
          <fgColor indexed="64"/>
          <bgColor rgb="FFF2F2F2"/>
        </patternFill>
      </fill>
      <alignment horizontal="right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venir Next LT Pro"/>
        <family val="2"/>
        <scheme val="none"/>
      </font>
      <fill>
        <patternFill patternType="solid">
          <fgColor indexed="64"/>
          <bgColor rgb="FFDCE6F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66666"/>
        <name val="Avenir Next LT Pro"/>
        <family val="2"/>
        <scheme val="none"/>
      </font>
      <numFmt numFmtId="166" formatCode="0.0%;[Red]\(0.0%\);\-"/>
      <fill>
        <patternFill patternType="solid">
          <fgColor indexed="64"/>
          <bgColor rgb="FFF2F2F2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66666"/>
        <name val="Avenir Next LT Pro"/>
        <family val="2"/>
        <scheme val="none"/>
      </font>
      <numFmt numFmtId="166" formatCode="0.0%;[Red]\(0.0%\);\-"/>
      <fill>
        <patternFill patternType="solid">
          <fgColor indexed="64"/>
          <bgColor rgb="FFF2F2F2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venir Next LT Pro"/>
        <family val="2"/>
        <scheme val="none"/>
      </font>
      <fill>
        <patternFill patternType="solid">
          <fgColor indexed="64"/>
          <bgColor rgb="FFDCE6F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66666"/>
        <name val="Avenir Next LT Pro"/>
        <family val="2"/>
        <scheme val="none"/>
      </font>
      <numFmt numFmtId="164" formatCode="\£#,##0;[Red]&quot;(£&quot;#,##0\);\-"/>
      <fill>
        <patternFill patternType="solid">
          <fgColor indexed="64"/>
          <bgColor rgb="FFF2F2F2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66666"/>
        <name val="Avenir Next LT Pro"/>
        <family val="2"/>
        <scheme val="none"/>
      </font>
      <numFmt numFmtId="164" formatCode="\£#,##0;[Red]&quot;(£&quot;#,##0\);\-"/>
      <fill>
        <patternFill patternType="solid">
          <fgColor indexed="64"/>
          <bgColor rgb="FFF2F2F2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66666"/>
        <name val="Avenir Next LT Pro"/>
        <family val="2"/>
        <scheme val="none"/>
      </font>
      <numFmt numFmtId="164" formatCode="\£#,##0;[Red]&quot;(£&quot;#,##0\);\-"/>
      <fill>
        <patternFill patternType="solid">
          <fgColor indexed="64"/>
          <bgColor rgb="FFF2F2F2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66666"/>
        <name val="Avenir Next LT Pro"/>
        <family val="2"/>
        <scheme val="none"/>
      </font>
      <numFmt numFmtId="164" formatCode="\£#,##0;[Red]&quot;(£&quot;#,##0\);\-"/>
      <fill>
        <patternFill patternType="solid">
          <fgColor indexed="64"/>
          <bgColor rgb="FFF2F2F2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66666"/>
        <name val="Avenir Next LT Pro"/>
        <family val="2"/>
        <scheme val="none"/>
      </font>
      <numFmt numFmtId="165" formatCode="#,##0.0;[Red]\(#,##0.0\);\-"/>
      <fill>
        <patternFill patternType="solid">
          <fgColor indexed="64"/>
          <bgColor rgb="FFF2F2F2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66666"/>
        <name val="Avenir Next LT Pro"/>
        <family val="2"/>
        <scheme val="none"/>
      </font>
      <numFmt numFmtId="165" formatCode="#,##0.0;[Red]\(#,##0.0\);\-"/>
      <fill>
        <patternFill patternType="solid">
          <fgColor indexed="64"/>
          <bgColor rgb="FFF2F2F2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66666"/>
        <name val="Avenir Next LT Pro"/>
        <family val="2"/>
        <scheme val="none"/>
      </font>
      <numFmt numFmtId="165" formatCode="#,##0.0;[Red]\(#,##0.0\);\-"/>
      <fill>
        <patternFill patternType="solid">
          <fgColor indexed="64"/>
          <bgColor rgb="FFF2F2F2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66666"/>
        <name val="Avenir Next LT Pro"/>
        <family val="2"/>
        <scheme val="none"/>
      </font>
      <fill>
        <patternFill patternType="solid">
          <fgColor indexed="64"/>
          <bgColor rgb="FFF2F2F2"/>
        </patternFill>
      </fill>
      <alignment horizontal="right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venir Next LT Pro"/>
        <family val="2"/>
        <scheme val="none"/>
      </font>
      <fill>
        <patternFill patternType="solid">
          <fgColor indexed="64"/>
          <bgColor rgb="FFDCE6F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venir Next LT Pro"/>
        <family val="2"/>
        <scheme val="none"/>
      </font>
      <fill>
        <patternFill patternType="solid">
          <fgColor indexed="64"/>
          <bgColor rgb="FFDCE6F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45BCAE-2920-4A62-AF02-18762D92BA91}" name="general_parameters" displayName="general_parameters" ref="A1:D8" totalsRowShown="0" headerRowDxfId="149" headerRowBorderDxfId="148" tableBorderDxfId="147" totalsRowBorderDxfId="146">
  <autoFilter ref="A1:D8" xr:uid="{5C45BCAE-2920-4A62-AF02-18762D92BA91}"/>
  <tableColumns count="4">
    <tableColumn id="1" xr3:uid="{BF4A73EA-A313-4283-BE5C-5B9F6C2039F3}" name="Parameter" dataDxfId="145"/>
    <tableColumn id="2" xr3:uid="{2168A1D6-1F00-420A-AE49-628879EF67CF}" name="Value"/>
    <tableColumn id="3" xr3:uid="{EE2AD78A-DCFF-47D8-A4FD-47301D7A564F}" name="Units" dataDxfId="144"/>
    <tableColumn id="4" xr3:uid="{F7910500-F089-4E59-9AC8-5734EF06B071}" name="Source / note" dataDxfId="14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3C03BC-9795-4A32-BE15-F23695000642}" name="dwellingbytypology" displayName="dwellingbytypology" ref="A1:H6" totalsRowShown="0" headerRowDxfId="142" dataDxfId="140" headerRowBorderDxfId="141" tableBorderDxfId="139" totalsRowBorderDxfId="138">
  <autoFilter ref="A1:H6" xr:uid="{0E3C03BC-9795-4A32-BE15-F23695000642}"/>
  <tableColumns count="8">
    <tableColumn id="1" xr3:uid="{AF5B1002-ACF0-443F-BA91-D855456C8E2D}" name="Typology" dataDxfId="137"/>
    <tableColumn id="2" xr3:uid="{4552E384-A064-4D7E-B638-6DC25252B385}" name="Floorspace m2" dataDxfId="136"/>
    <tableColumn id="3" xr3:uid="{E22864B2-160F-4F3D-9491-0A60A9310C41}" name="Persons Per Dwelling - Private" dataDxfId="135"/>
    <tableColumn id="4" xr3:uid="{0377E05F-6D73-4E82-AD3D-2AA209958578}" name="Persons Per Dwelling - Social/affordable" dataDxfId="134"/>
    <tableColumn id="5" xr3:uid="{3D93BA7B-360E-4A20-BB94-AFEC8DAB2F05}" name="Council Tax per unit" dataDxfId="133"/>
    <tableColumn id="6" xr3:uid="{E1042461-7B4B-4E4A-96C1-EA75409C533A}" name="Rent per social/MMR unit" dataDxfId="132"/>
    <tableColumn id="7" xr3:uid="{56B6CFB9-570D-4CC0-9162-B0D0FCE94F69}" name="Private disposable income" dataDxfId="131"/>
    <tableColumn id="8" xr3:uid="{CA5B102B-23EE-4F5D-853D-87DFD7D74ACA}" name="Social/affordable disposable income" dataDxfId="13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2D2174-90B9-463F-9330-0CCD3522FDE1}" name="pop_employ" displayName="pop_employ" ref="A1:D6" totalsRowShown="0" headerRowDxfId="129" headerRowBorderDxfId="128" tableBorderDxfId="127" totalsRowBorderDxfId="126">
  <autoFilter ref="A1:D6" xr:uid="{5D2D2174-90B9-463F-9330-0CCD3522FDE1}"/>
  <tableColumns count="4">
    <tableColumn id="1" xr3:uid="{947CE13C-D8BA-437F-95E3-C118D991F51E}" name="Parameter" dataDxfId="125"/>
    <tableColumn id="2" xr3:uid="{07D50781-49CC-4BF6-8A8F-30D3D0C13A42}" name="Private" dataDxfId="124"/>
    <tableColumn id="3" xr3:uid="{9642AD60-1B5A-4683-8E0B-12D1FE0BEBCA}" name="Social/affordable" dataDxfId="123"/>
    <tableColumn id="4" xr3:uid="{D8D5E346-3E52-4B56-B72E-C2C8E3B487BA}" name="Units" dataDxfId="12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9CADA8C-6739-4499-8318-8C1A1D43CE67}" name="transport_modal" displayName="transport_modal" ref="A1:H9" totalsRowShown="0" headerRowDxfId="121" dataDxfId="119" headerRowBorderDxfId="120" tableBorderDxfId="118" totalsRowBorderDxfId="117">
  <autoFilter ref="A1:H9" xr:uid="{79CADA8C-6739-4499-8318-8C1A1D43CE67}"/>
  <tableColumns count="8">
    <tableColumn id="1" xr3:uid="{51D80002-D764-4804-8EC7-BF057B59E144}" name="Mode" dataDxfId="116"/>
    <tableColumn id="2" xr3:uid="{632F4F89-D565-43F4-8508-41B297AC72E4}" name="Baseline share" dataDxfId="115"/>
    <tableColumn id="3" xr3:uid="{F88145F9-8928-434C-8CDB-20D90AA0024C}" name="TCL Good" dataDxfId="114"/>
    <tableColumn id="4" xr3:uid="{B0EC6125-F09D-4332-8FAF-A316F08C437C}" name="TCL Average" dataDxfId="113"/>
    <tableColumn id="5" xr3:uid="{5AF3B7FB-6119-4BB3-BE48-1C87DAEBA045}" name="TCL Limited" dataDxfId="112"/>
    <tableColumn id="6" xr3:uid="{28476781-DBA7-44F7-8DFF-F6C7E20BF879}" name="Baseline km" dataDxfId="111"/>
    <tableColumn id="7" xr3:uid="{15EB3372-9D4F-46B3-A45C-B008382479FA}" name="Emission factor kgCO2e/pkm" dataDxfId="110"/>
    <tableColumn id="8" xr3:uid="{7C2A1136-FFE8-4A44-AC30-D20CEB0F77DF}" name="Speed km/h" dataDxfId="10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5EB96F9-732E-4614-BCD1-33C1639E5F61}" name="carbon" displayName="carbon" ref="A1:F4" totalsRowShown="0" headerRowDxfId="108" dataDxfId="106" headerRowBorderDxfId="107" tableBorderDxfId="105" totalsRowBorderDxfId="104">
  <autoFilter ref="A1:F4" xr:uid="{B5EB96F9-732E-4614-BCD1-33C1639E5F61}"/>
  <tableColumns count="6">
    <tableColumn id="1" xr3:uid="{80B2580A-D788-4184-8B9B-91481871C1B1}" name="Development type" dataDxfId="103"/>
    <tableColumn id="2" xr3:uid="{E2B4663C-5E14-40B1-B0E0-9F536D5994B1}" name="Low upfront" dataDxfId="102"/>
    <tableColumn id="3" xr3:uid="{4F8B9403-C34D-4A52-AFD9-86BB230C316D}" name="Medium upfront" dataDxfId="101"/>
    <tableColumn id="4" xr3:uid="{148042E5-61B0-4045-9632-78DA909DE42D}" name="High upfront" dataDxfId="100"/>
    <tableColumn id="5" xr3:uid="{8A4AFD31-51B7-45FE-8D58-B6C8F3E1E731}" name="Baseline comparator" dataDxfId="99"/>
    <tableColumn id="6" xr3:uid="{C11B7004-AD50-4B91-A6AC-2CD2E104AC48}" name="End of life factor" dataDxfId="9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C749976-DD17-482A-9FD7-9196F207272A}" name="environ_wellbeingTable6" displayName="environ_wellbeingTable6" ref="A1:E5" totalsRowShown="0" headerRowDxfId="97" headerRowBorderDxfId="96" tableBorderDxfId="95" totalsRowBorderDxfId="94">
  <autoFilter ref="A1:E5" xr:uid="{AC749976-DD17-482A-9FD7-9196F207272A}"/>
  <tableColumns count="5">
    <tableColumn id="1" xr3:uid="{04476D43-8F73-422A-9656-FA2B9CD22585}" name="Parameter" dataDxfId="93"/>
    <tableColumn id="2" xr3:uid="{76480CDF-9E60-4089-A0A3-B5493DDC105F}" name="Lower scale impact" dataDxfId="92"/>
    <tableColumn id="3" xr3:uid="{AB078BD6-DFAE-44D5-A871-78C491E01176}" name="Central impact"/>
    <tableColumn id="4" xr3:uid="{75FA526C-FBEE-4599-B606-702D6554E485}" name="Higher scale impact"/>
    <tableColumn id="5" xr3:uid="{0BDF18F5-C495-4B11-AD1B-3043B7B15F46}" name="Units" dataDxfId="9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C131DAF-A5A6-4609-9BBD-D774FD2E423D}" name="active_travel" displayName="active_travel" ref="A1:G4" totalsRowShown="0" headerRowDxfId="90" dataDxfId="88" headerRowBorderDxfId="89" tableBorderDxfId="87" totalsRowBorderDxfId="86">
  <autoFilter ref="A1:G4" xr:uid="{DC131DAF-A5A6-4609-9BBD-D774FD2E423D}"/>
  <tableColumns count="7">
    <tableColumn id="1" xr3:uid="{AD78C056-5CC9-4CD9-B25A-9E1FDA7619ED}" name="Accessibility" dataDxfId="85"/>
    <tableColumn id="2" xr3:uid="{DDB6924C-0BED-4161-92F2-8EF3A236C4E5}" name="Walking uplift" dataDxfId="84"/>
    <tableColumn id="3" xr3:uid="{9C68EE70-0111-4A45-8C9E-3C0000BE8EB3}" name="Cycling uplift" dataDxfId="83"/>
    <tableColumn id="4" xr3:uid="{727BFA19-FC13-457E-A671-2032BFC507A9}" name="Minutes uplift" dataDxfId="82"/>
    <tableColumn id="5" xr3:uid="{4EF746B4-929E-4ADE-9844-064C65AA8AF6}" name="Baseline meeting 150 mins (high deprivation)" dataDxfId="81"/>
    <tableColumn id="6" xr3:uid="{A508C7D2-8286-46AA-AE93-0CFD202BABC6}" name="Baseline meeting 150 mins (average deprivation)" dataDxfId="80"/>
    <tableColumn id="7" xr3:uid="{DA5F9070-A695-4818-AAC9-61F124AC7F92}" name="Baseline meeting 150 mins (low deprivation)" dataDxfId="7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F810BE9-7C6F-4265-8DEC-A1CDB6675747}" name="crime" displayName="crime" ref="A1:D5" totalsRowShown="0" headerRowDxfId="78" headerRowBorderDxfId="77" tableBorderDxfId="76" totalsRowBorderDxfId="75">
  <autoFilter ref="A1:D5" xr:uid="{EF810BE9-7C6F-4265-8DEC-A1CDB6675747}"/>
  <tableColumns count="4">
    <tableColumn id="1" xr3:uid="{907E3F67-1965-41D5-8DDD-707389C0597D}" name="Category" dataDxfId="74"/>
    <tableColumn id="2" xr3:uid="{02A1EC8D-CE03-4112-AF55-3E5058D292AE}" name="Rate per 1,000" dataDxfId="73"/>
    <tableColumn id="3" xr3:uid="{C292AD1E-37A6-4421-A549-FB7A56194F0B}" name="Cost per incident" dataDxfId="72"/>
    <tableColumn id="4" xr3:uid="{7F206B66-30F3-4010-AC15-A9AFDE66E061}" name="Reduction rate" dataDxfId="7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5D7EC45-CE5C-44FC-B5E0-0BAFE887560C}" name="economic_coeff" displayName="economic_coeff" ref="A1:C8" totalsRowShown="0" headerRowDxfId="70" headerRowBorderDxfId="69" tableBorderDxfId="68" totalsRowBorderDxfId="67">
  <autoFilter ref="A1:C8" xr:uid="{55D7EC45-CE5C-44FC-B5E0-0BAFE887560C}"/>
  <tableColumns count="3">
    <tableColumn id="1" xr3:uid="{B3E4FC91-3B70-4B5F-BE4B-3D95311501D9}" name="Parameter" dataDxfId="66"/>
    <tableColumn id="2" xr3:uid="{8E11059B-045B-4658-BEA4-ACFA568B296F}" name="Value" dataDxfId="65"/>
    <tableColumn id="3" xr3:uid="{97CBA549-19DB-408B-AA6F-BDFA09076EB0}" name="Units" dataDxfId="6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4481E30-4492-4DED-8E9A-2EC2D68F1FBA}" name="household_spend" displayName="household_spend" ref="A1:E11" totalsRowShown="0" headerRowDxfId="63" dataDxfId="61" headerRowBorderDxfId="62" tableBorderDxfId="60" totalsRowBorderDxfId="59">
  <autoFilter ref="A1:E11" xr:uid="{14481E30-4492-4DED-8E9A-2EC2D68F1FBA}"/>
  <tableColumns count="5">
    <tableColumn id="1" xr3:uid="{9A4690EE-FA56-405E-A30D-875570657134}" name="Typology / tenure" dataDxfId="58"/>
    <tableColumn id="2" xr3:uid="{E91F277E-06CE-4EDB-8543-29E44E82DEA7}" name="Upper" dataDxfId="57"/>
    <tableColumn id="3" xr3:uid="{1EAAF470-471D-4B0C-A575-DFBD58AEA1B8}" name="Central" dataDxfId="56"/>
    <tableColumn id="4" xr3:uid="{57C7CBC2-465E-4D9C-862C-8B255FF6A5B2}" name="Lower" dataDxfId="55"/>
    <tableColumn id="5" xr3:uid="{2AC2BF98-5348-4DE0-93F2-91C9D65F223E}" name="Unit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0CAE23F-64C2-446D-8AC7-2420C696FBA2}" name="additionality_mappings" displayName="additionality_mappings" ref="A1:F16" totalsRowShown="0" headerRowDxfId="53" dataDxfId="51" headerRowBorderDxfId="52" tableBorderDxfId="50" totalsRowBorderDxfId="49">
  <autoFilter ref="A1:F16" xr:uid="{10CAE23F-64C2-446D-8AC7-2420C696FBA2}"/>
  <tableColumns count="6">
    <tableColumn id="1" xr3:uid="{E3A723FA-457B-4EFE-9E92-EB013E337B59}" name="Group" dataDxfId="48"/>
    <tableColumn id="2" xr3:uid="{02D51F27-6686-45C8-B830-EE4683B203DE}" name="Scenario" dataDxfId="47"/>
    <tableColumn id="3" xr3:uid="{141761B2-F5F5-4B9A-8B3E-DC8AC7A74CBC}" name="Deadweight" dataDxfId="46"/>
    <tableColumn id="4" xr3:uid="{73079F49-39D1-41A2-AF81-9562C0ADE495}" name="Displacement" dataDxfId="45"/>
    <tableColumn id="5" xr3:uid="{BF1D37EB-AE48-4C08-9998-896BCDE53C45}" name="Leakage" dataDxfId="44"/>
    <tableColumn id="6" xr3:uid="{343EC36C-1426-4634-AD97-7726BDCCA977}" name="Multiplier" dataDxfId="43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1ED9103-DDDE-47B1-8810-5356D0BC801A}" name="discounting" displayName="discounting" ref="A1:D3" totalsRowShown="0" headerRowDxfId="42" headerRowBorderDxfId="41" tableBorderDxfId="40" totalsRowBorderDxfId="39">
  <autoFilter ref="A1:D3" xr:uid="{B1ED9103-DDDE-47B1-8810-5356D0BC801A}"/>
  <tableColumns count="4">
    <tableColumn id="1" xr3:uid="{C9D1B6E6-554B-4728-999B-F79940D1548F}" name="Parameter" dataDxfId="38"/>
    <tableColumn id="2" xr3:uid="{9CC8EED5-22B9-4B6C-ABA0-C94CA361A8EB}" name="Value" dataDxfId="37"/>
    <tableColumn id="3" xr3:uid="{DF9EDA1C-294C-452B-BFF2-26FBD630BCD3}" name="Unit" dataDxfId="36"/>
    <tableColumn id="4" xr3:uid="{D5D8E8F0-51CC-4FDB-ABC4-1CE5C67CF3DC}" name="Source" dataDxfId="35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423D1D0-30EB-48F7-8293-4EDC0FFE06C1}" name="discounting_by_impact" displayName="discounting_by_impact" ref="A1:D4" totalsRowShown="0" headerRowDxfId="34" headerRowBorderDxfId="33" tableBorderDxfId="32">
  <autoFilter ref="A1:D4" xr:uid="{6423D1D0-30EB-48F7-8293-4EDC0FFE06C1}"/>
  <tableColumns count="4">
    <tableColumn id="1" xr3:uid="{BAA839D6-42E3-4FD9-8386-2108D73EF939}" name="Impact" dataDxfId="31"/>
    <tableColumn id="2" xr3:uid="{34EDF934-C8FE-4FFD-9217-6E193C221B78}" name="Value"/>
    <tableColumn id="3" xr3:uid="{6516570E-DCB9-4F5C-8D62-991AA6C746A7}" name="Unit" dataDxfId="30"/>
    <tableColumn id="4" xr3:uid="{B4F1FF20-BFB8-46B8-A719-D89B829DB05B}" name="Notes" dataDxfId="29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EB637CF-069E-41D0-AB72-259C07748F40}" name="land_infra_mult" displayName="land_infra_mult" ref="A1:D8" totalsRowShown="0" headerRowDxfId="28" headerRowBorderDxfId="27" tableBorderDxfId="26" totalsRowBorderDxfId="25">
  <autoFilter ref="A1:D8" xr:uid="{4EB637CF-069E-41D0-AB72-259C07748F40}"/>
  <tableColumns count="4">
    <tableColumn id="1" xr3:uid="{7FD0A6E6-1B0A-4FC7-81EC-4DD560B478DC}" name="Parameter" dataDxfId="24"/>
    <tableColumn id="2" xr3:uid="{A7B1CC4E-78DF-4D14-A750-3E88F52FAF2A}" name="Value"/>
    <tableColumn id="3" xr3:uid="{2E3AE3B4-C3F9-4F53-873A-03E831ED79B8}" name="Unit" dataDxfId="23"/>
    <tableColumn id="4" xr3:uid="{4BF2B9CD-2B84-4D85-BBB6-91888AED0426}" name="Notes" dataDxfId="22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058E2D3-F7F9-4A10-BAB9-8320F53C6B23}" name="civic_eng_belong" displayName="civic_eng_belong" ref="A1:D4" totalsRowShown="0" headerRowDxfId="21" headerRowBorderDxfId="20" tableBorderDxfId="19" totalsRowBorderDxfId="18">
  <autoFilter ref="A1:D4" xr:uid="{9058E2D3-F7F9-4A10-BAB9-8320F53C6B23}"/>
  <tableColumns count="4">
    <tableColumn id="1" xr3:uid="{D75EF333-231B-4EAB-8E7D-12FB18EC5B22}" name="Parameter" dataDxfId="17"/>
    <tableColumn id="2" xr3:uid="{8D56F066-D35D-4A74-A55B-3DD8CBAC3EC7}" name="Value"/>
    <tableColumn id="3" xr3:uid="{F42C9F6C-C12D-472E-A3D9-29026D896399}" name="Unit" dataDxfId="16"/>
    <tableColumn id="4" xr3:uid="{394C7EEE-A3A1-4B69-9201-FD078CF98397}" name="Notes" dataDxfId="15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F61142E-C399-4A09-80C9-11F84EFA0201}" name="commercial_floorspace" displayName="commercial_floorspace" ref="A1:D6" totalsRowShown="0" headerRowDxfId="14" headerRowBorderDxfId="13" tableBorderDxfId="12" totalsRowBorderDxfId="11">
  <autoFilter ref="A1:D6" xr:uid="{2F61142E-C399-4A09-80C9-11F84EFA0201}"/>
  <tableColumns count="4">
    <tableColumn id="1" xr3:uid="{32EDEB91-4F8A-4846-9FCB-55E9F2D4B2E6}" name="Category" dataDxfId="10"/>
    <tableColumn id="2" xr3:uid="{84D454D1-33DD-4384-B598-B4192219381D}" name="Floorspace density" dataDxfId="9"/>
    <tableColumn id="3" xr3:uid="{EBC3F3AB-86F1-45B4-A769-0AED9DFD997D}" name="Avg GVA per FTE job" dataDxfId="8"/>
    <tableColumn id="4" xr3:uid="{4CB0938F-48BB-4717-B1A0-24CD58794538}" name="Note" dataDxfId="7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0AD5514-D5BE-4C31-8C6F-0CDAB9F32808}" name="discounting_control" displayName="discounting_control" ref="A1:B5" totalsRowShown="0" headerRowBorderDxfId="6" tableBorderDxfId="5" totalsRowBorderDxfId="4">
  <autoFilter ref="A1:B5" xr:uid="{A0AD5514-D5BE-4C31-8C6F-0CDAB9F32808}"/>
  <tableColumns count="2">
    <tableColumn id="1" xr3:uid="{3751DEC9-2A4C-4639-A38F-290EEE1255EA}" name="Parameter" dataDxfId="3"/>
    <tableColumn id="2" xr3:uid="{F05864C2-7639-4B7E-8486-057A8978B244}" name="Valu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70FD85FB-2C29-4261-8C5D-B4A82FB6DD29}" name="land_value_controls" displayName="land_value_controls" ref="A1:B4" totalsRowShown="0" tableBorderDxfId="2">
  <autoFilter ref="A1:B4" xr:uid="{70FD85FB-2C29-4261-8C5D-B4A82FB6DD29}"/>
  <tableColumns count="2">
    <tableColumn id="1" xr3:uid="{A262D807-2770-47C5-A118-D0BEE2C6E0FF}" name="Parameter" dataDxfId="1"/>
    <tableColumn id="2" xr3:uid="{8A0060A0-6DE4-41F5-84C9-693FAB036024}" name="Val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B3E55-AEFA-4DD8-B8C2-B6293D442D97}">
  <dimension ref="A1:D8"/>
  <sheetViews>
    <sheetView workbookViewId="0">
      <selection activeCell="A6" sqref="A6"/>
    </sheetView>
  </sheetViews>
  <sheetFormatPr defaultRowHeight="14.4" x14ac:dyDescent="0.3"/>
  <cols>
    <col min="1" max="1" width="27.5546875" customWidth="1"/>
    <col min="2" max="2" width="22.109375" customWidth="1"/>
    <col min="3" max="3" width="27" customWidth="1"/>
    <col min="4" max="4" width="30.88671875" customWidth="1"/>
  </cols>
  <sheetData>
    <row r="1" spans="1:4" ht="15" customHeight="1" x14ac:dyDescent="0.3">
      <c r="A1" s="7" t="s">
        <v>0</v>
      </c>
      <c r="B1" s="8" t="s">
        <v>1</v>
      </c>
      <c r="C1" s="8" t="s">
        <v>2</v>
      </c>
      <c r="D1" s="9" t="s">
        <v>3</v>
      </c>
    </row>
    <row r="2" spans="1:4" ht="30" customHeight="1" x14ac:dyDescent="0.3">
      <c r="A2" s="5" t="s">
        <v>4</v>
      </c>
      <c r="B2" s="1">
        <v>7</v>
      </c>
      <c r="C2" s="2" t="s">
        <v>5</v>
      </c>
      <c r="D2" s="6" t="s">
        <v>6</v>
      </c>
    </row>
    <row r="3" spans="1:4" ht="34.200000000000003" customHeight="1" x14ac:dyDescent="0.3">
      <c r="A3" s="5" t="s">
        <v>7</v>
      </c>
      <c r="B3" s="1">
        <v>0.34200000000000003</v>
      </c>
      <c r="C3" s="2" t="s">
        <v>8</v>
      </c>
      <c r="D3" s="6" t="s">
        <v>9</v>
      </c>
    </row>
    <row r="4" spans="1:4" ht="39.6" customHeight="1" x14ac:dyDescent="0.3">
      <c r="A4" s="5" t="s">
        <v>10</v>
      </c>
      <c r="B4" s="3">
        <v>1.96</v>
      </c>
      <c r="C4" s="2" t="s">
        <v>11</v>
      </c>
      <c r="D4" s="6" t="s">
        <v>12</v>
      </c>
    </row>
    <row r="5" spans="1:4" ht="39" customHeight="1" x14ac:dyDescent="0.3">
      <c r="A5" s="5" t="s">
        <v>13</v>
      </c>
      <c r="B5" s="4">
        <v>7.4999999999999997E-2</v>
      </c>
      <c r="C5" s="2" t="s">
        <v>14</v>
      </c>
      <c r="D5" s="6" t="s">
        <v>15</v>
      </c>
    </row>
    <row r="6" spans="1:4" ht="35.4" customHeight="1" x14ac:dyDescent="0.3">
      <c r="A6" s="5" t="s">
        <v>16</v>
      </c>
      <c r="B6" s="4">
        <v>2.5000000000000001E-2</v>
      </c>
      <c r="C6" s="2" t="s">
        <v>17</v>
      </c>
      <c r="D6" s="6" t="s">
        <v>18</v>
      </c>
    </row>
    <row r="7" spans="1:4" ht="43.8" customHeight="1" x14ac:dyDescent="0.3">
      <c r="A7" s="5" t="s">
        <v>19</v>
      </c>
      <c r="B7" s="1">
        <v>16499</v>
      </c>
      <c r="C7" s="2" t="s">
        <v>20</v>
      </c>
      <c r="D7" s="6" t="s">
        <v>21</v>
      </c>
    </row>
    <row r="8" spans="1:4" ht="45" customHeight="1" x14ac:dyDescent="0.3">
      <c r="A8" s="10" t="s">
        <v>22</v>
      </c>
      <c r="B8" s="11">
        <v>30000</v>
      </c>
      <c r="C8" s="12" t="s">
        <v>23</v>
      </c>
      <c r="D8" s="13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BAFF2-E11F-4F75-86A8-E09F39ED3D2A}">
  <dimension ref="A1:H6"/>
  <sheetViews>
    <sheetView topLeftCell="B1" zoomScale="80" zoomScaleNormal="80" workbookViewId="0">
      <selection activeCell="G14" sqref="G14"/>
    </sheetView>
  </sheetViews>
  <sheetFormatPr defaultRowHeight="14.4" x14ac:dyDescent="0.3"/>
  <cols>
    <col min="1" max="1" width="20.109375" customWidth="1"/>
    <col min="2" max="2" width="17.109375" customWidth="1"/>
    <col min="3" max="3" width="32.88671875" customWidth="1"/>
    <col min="4" max="4" width="42.109375" customWidth="1"/>
    <col min="5" max="5" width="22.33203125" customWidth="1"/>
    <col min="6" max="6" width="27.44140625" customWidth="1"/>
    <col min="7" max="7" width="28.44140625" customWidth="1"/>
    <col min="8" max="8" width="38.21875" customWidth="1"/>
  </cols>
  <sheetData>
    <row r="1" spans="1:8" ht="34.950000000000003" customHeight="1" x14ac:dyDescent="0.3">
      <c r="A1" s="7" t="s">
        <v>25</v>
      </c>
      <c r="B1" s="8" t="s">
        <v>26</v>
      </c>
      <c r="C1" s="8" t="s">
        <v>184</v>
      </c>
      <c r="D1" s="8" t="s">
        <v>27</v>
      </c>
      <c r="E1" s="8" t="s">
        <v>28</v>
      </c>
      <c r="F1" s="8" t="s">
        <v>29</v>
      </c>
      <c r="G1" s="8" t="s">
        <v>30</v>
      </c>
      <c r="H1" s="9" t="s">
        <v>31</v>
      </c>
    </row>
    <row r="2" spans="1:8" ht="34.950000000000003" customHeight="1" x14ac:dyDescent="0.3">
      <c r="A2" s="5" t="s">
        <v>32</v>
      </c>
      <c r="B2" s="3">
        <v>146</v>
      </c>
      <c r="C2" s="3">
        <v>3.1</v>
      </c>
      <c r="D2" s="3">
        <v>2.7</v>
      </c>
      <c r="E2" s="1">
        <v>2268</v>
      </c>
      <c r="F2" s="1">
        <v>5050</v>
      </c>
      <c r="G2" s="1">
        <v>47429</v>
      </c>
      <c r="H2" s="15">
        <v>40563</v>
      </c>
    </row>
    <row r="3" spans="1:8" ht="34.950000000000003" customHeight="1" x14ac:dyDescent="0.3">
      <c r="A3" s="5" t="s">
        <v>181</v>
      </c>
      <c r="B3" s="3">
        <v>92.5</v>
      </c>
      <c r="C3" s="3">
        <v>2.6</v>
      </c>
      <c r="D3" s="3">
        <v>2.2999999999999998</v>
      </c>
      <c r="E3" s="1">
        <v>1458</v>
      </c>
      <c r="F3" s="1">
        <v>4629</v>
      </c>
      <c r="G3" s="1">
        <v>40132</v>
      </c>
      <c r="H3" s="15">
        <v>34322</v>
      </c>
    </row>
    <row r="4" spans="1:8" ht="34.950000000000003" customHeight="1" x14ac:dyDescent="0.3">
      <c r="A4" s="5" t="s">
        <v>33</v>
      </c>
      <c r="B4" s="3">
        <v>75</v>
      </c>
      <c r="C4" s="3">
        <v>2.1</v>
      </c>
      <c r="D4" s="3">
        <v>1.9</v>
      </c>
      <c r="E4" s="1">
        <v>965</v>
      </c>
      <c r="F4" s="1">
        <v>4208</v>
      </c>
      <c r="G4" s="1">
        <v>32836</v>
      </c>
      <c r="H4" s="15">
        <v>28082</v>
      </c>
    </row>
    <row r="5" spans="1:8" ht="34.950000000000003" customHeight="1" x14ac:dyDescent="0.3">
      <c r="A5" s="14" t="s">
        <v>182</v>
      </c>
      <c r="B5" s="3">
        <v>60</v>
      </c>
      <c r="C5" s="3">
        <v>1.9</v>
      </c>
      <c r="D5" s="3">
        <v>1.7</v>
      </c>
      <c r="E5" s="1">
        <v>836</v>
      </c>
      <c r="F5" s="1">
        <v>3788</v>
      </c>
      <c r="G5" s="1">
        <v>29187</v>
      </c>
      <c r="H5" s="15">
        <v>24962</v>
      </c>
    </row>
    <row r="6" spans="1:8" ht="34.950000000000003" customHeight="1" x14ac:dyDescent="0.3">
      <c r="A6" s="10" t="s">
        <v>183</v>
      </c>
      <c r="B6" s="16">
        <v>60</v>
      </c>
      <c r="C6" s="16">
        <v>1.3</v>
      </c>
      <c r="D6" s="16">
        <v>1.3</v>
      </c>
      <c r="E6" s="11">
        <v>669</v>
      </c>
      <c r="F6" s="11">
        <v>3367</v>
      </c>
      <c r="G6" s="11">
        <v>21890</v>
      </c>
      <c r="H6" s="17">
        <v>18721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8A6C9-C19C-4552-9F1A-64DF3651C468}">
  <dimension ref="A1:D6"/>
  <sheetViews>
    <sheetView workbookViewId="0">
      <selection activeCell="D6" sqref="D6"/>
    </sheetView>
  </sheetViews>
  <sheetFormatPr defaultRowHeight="14.4" x14ac:dyDescent="0.3"/>
  <cols>
    <col min="1" max="1" width="21.33203125" customWidth="1"/>
    <col min="2" max="2" width="15.6640625" customWidth="1"/>
    <col min="3" max="3" width="25.109375" customWidth="1"/>
  </cols>
  <sheetData>
    <row r="1" spans="1:4" ht="34.950000000000003" customHeight="1" x14ac:dyDescent="0.3">
      <c r="A1" s="7" t="s">
        <v>0</v>
      </c>
      <c r="B1" s="8" t="s">
        <v>34</v>
      </c>
      <c r="C1" s="8" t="s">
        <v>35</v>
      </c>
      <c r="D1" s="9" t="s">
        <v>2</v>
      </c>
    </row>
    <row r="2" spans="1:4" ht="34.950000000000003" customHeight="1" x14ac:dyDescent="0.3">
      <c r="A2" s="5" t="s">
        <v>36</v>
      </c>
      <c r="B2" s="4">
        <v>0.16</v>
      </c>
      <c r="C2" s="4">
        <v>0.2</v>
      </c>
      <c r="D2" s="6" t="s">
        <v>14</v>
      </c>
    </row>
    <row r="3" spans="1:4" ht="34.950000000000003" customHeight="1" x14ac:dyDescent="0.3">
      <c r="A3" s="5" t="s">
        <v>37</v>
      </c>
      <c r="B3" s="4">
        <v>0.63</v>
      </c>
      <c r="C3" s="4">
        <v>0.6</v>
      </c>
      <c r="D3" s="6" t="s">
        <v>14</v>
      </c>
    </row>
    <row r="4" spans="1:4" ht="34.950000000000003" customHeight="1" x14ac:dyDescent="0.3">
      <c r="A4" s="5" t="s">
        <v>38</v>
      </c>
      <c r="B4" s="4">
        <v>0.21</v>
      </c>
      <c r="C4" s="4">
        <v>0.2</v>
      </c>
      <c r="D4" s="6" t="s">
        <v>14</v>
      </c>
    </row>
    <row r="5" spans="1:4" ht="34.950000000000003" customHeight="1" x14ac:dyDescent="0.3">
      <c r="A5" s="5" t="s">
        <v>39</v>
      </c>
      <c r="B5" s="4">
        <v>0.74399999999999999</v>
      </c>
      <c r="C5" s="4">
        <v>0.5</v>
      </c>
      <c r="D5" s="6" t="s">
        <v>14</v>
      </c>
    </row>
    <row r="6" spans="1:4" ht="34.950000000000003" customHeight="1" x14ac:dyDescent="0.3">
      <c r="A6" s="10" t="s">
        <v>40</v>
      </c>
      <c r="B6" s="18">
        <v>0.75</v>
      </c>
      <c r="C6" s="18">
        <v>0.5</v>
      </c>
      <c r="D6" s="13" t="s">
        <v>14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092BD-64B4-466A-A0F9-84DCF05F41D2}">
  <dimension ref="A1:H9"/>
  <sheetViews>
    <sheetView workbookViewId="0">
      <selection activeCell="H10" sqref="H10"/>
    </sheetView>
  </sheetViews>
  <sheetFormatPr defaultRowHeight="14.4" x14ac:dyDescent="0.3"/>
  <cols>
    <col min="1" max="1" width="16.44140625" customWidth="1"/>
    <col min="2" max="2" width="17" customWidth="1"/>
    <col min="3" max="3" width="12.5546875" customWidth="1"/>
    <col min="4" max="4" width="15.21875" customWidth="1"/>
    <col min="5" max="5" width="14.33203125" customWidth="1"/>
    <col min="6" max="6" width="14.6640625" customWidth="1"/>
    <col min="7" max="7" width="31.5546875" customWidth="1"/>
    <col min="8" max="8" width="14.88671875" customWidth="1"/>
  </cols>
  <sheetData>
    <row r="1" spans="1:8" ht="57.6" x14ac:dyDescent="0.3">
      <c r="A1" s="7" t="s">
        <v>41</v>
      </c>
      <c r="B1" s="8" t="s">
        <v>42</v>
      </c>
      <c r="C1" s="8" t="s">
        <v>43</v>
      </c>
      <c r="D1" s="8" t="s">
        <v>44</v>
      </c>
      <c r="E1" s="8" t="s">
        <v>45</v>
      </c>
      <c r="F1" s="8" t="s">
        <v>46</v>
      </c>
      <c r="G1" s="8" t="s">
        <v>47</v>
      </c>
      <c r="H1" s="9" t="s">
        <v>48</v>
      </c>
    </row>
    <row r="2" spans="1:8" x14ac:dyDescent="0.3">
      <c r="A2" s="5" t="s">
        <v>49</v>
      </c>
      <c r="B2" s="4">
        <v>0.25</v>
      </c>
      <c r="C2" s="4">
        <v>0.33</v>
      </c>
      <c r="D2" s="4">
        <v>0.32</v>
      </c>
      <c r="E2" s="4">
        <v>0.31</v>
      </c>
      <c r="F2" s="3">
        <v>1.3</v>
      </c>
      <c r="G2" s="3">
        <v>0</v>
      </c>
      <c r="H2" s="19">
        <v>4</v>
      </c>
    </row>
    <row r="3" spans="1:8" ht="28.8" x14ac:dyDescent="0.3">
      <c r="A3" s="5" t="s">
        <v>50</v>
      </c>
      <c r="B3" s="4">
        <v>0.50800000000000001</v>
      </c>
      <c r="C3" s="4">
        <v>0.39050000000000001</v>
      </c>
      <c r="D3" s="4">
        <v>0.40799999999999997</v>
      </c>
      <c r="E3" s="4">
        <v>0.42549999999999999</v>
      </c>
      <c r="F3" s="3">
        <v>6.5</v>
      </c>
      <c r="G3" s="3">
        <v>0.112</v>
      </c>
      <c r="H3" s="19">
        <v>30</v>
      </c>
    </row>
    <row r="4" spans="1:8" ht="43.2" x14ac:dyDescent="0.3">
      <c r="A4" s="5" t="s">
        <v>51</v>
      </c>
      <c r="B4" s="4">
        <v>0.11799999999999999</v>
      </c>
      <c r="C4" s="4">
        <v>9.0499999999999997E-2</v>
      </c>
      <c r="D4" s="4">
        <v>9.8000000000000004E-2</v>
      </c>
      <c r="E4" s="4">
        <v>0.1055</v>
      </c>
      <c r="F4" s="3">
        <v>7.2</v>
      </c>
      <c r="G4" s="3">
        <v>0.112</v>
      </c>
      <c r="H4" s="19">
        <v>30</v>
      </c>
    </row>
    <row r="5" spans="1:8" x14ac:dyDescent="0.3">
      <c r="A5" s="5" t="s">
        <v>52</v>
      </c>
      <c r="B5" s="4">
        <v>1.2999999999999999E-2</v>
      </c>
      <c r="C5" s="4">
        <v>2.8000000000000001E-2</v>
      </c>
      <c r="D5" s="4">
        <v>2.3E-2</v>
      </c>
      <c r="E5" s="4">
        <v>1.7999999999999999E-2</v>
      </c>
      <c r="F5" s="3">
        <v>4.3</v>
      </c>
      <c r="G5" s="3">
        <v>0</v>
      </c>
      <c r="H5" s="19">
        <v>15</v>
      </c>
    </row>
    <row r="6" spans="1:8" x14ac:dyDescent="0.3">
      <c r="A6" s="5" t="s">
        <v>53</v>
      </c>
      <c r="B6" s="4">
        <v>6.5000000000000002E-2</v>
      </c>
      <c r="C6" s="4">
        <v>0.1</v>
      </c>
      <c r="D6" s="4">
        <v>9.5000000000000001E-2</v>
      </c>
      <c r="E6" s="4">
        <v>0.09</v>
      </c>
      <c r="F6" s="3">
        <v>5.4</v>
      </c>
      <c r="G6" s="3">
        <v>0.108</v>
      </c>
      <c r="H6" s="19">
        <v>20</v>
      </c>
    </row>
    <row r="7" spans="1:8" ht="28.8" x14ac:dyDescent="0.3">
      <c r="A7" s="5" t="s">
        <v>54</v>
      </c>
      <c r="B7" s="4">
        <v>0.01</v>
      </c>
      <c r="C7" s="4">
        <v>0.01</v>
      </c>
      <c r="D7" s="4">
        <v>0.01</v>
      </c>
      <c r="E7" s="4">
        <v>0.01</v>
      </c>
      <c r="F7" s="3">
        <v>3.7</v>
      </c>
      <c r="G7" s="3">
        <v>0.17599999999999999</v>
      </c>
      <c r="H7" s="19">
        <v>30</v>
      </c>
    </row>
    <row r="8" spans="1:8" x14ac:dyDescent="0.3">
      <c r="A8" s="5" t="s">
        <v>55</v>
      </c>
      <c r="B8" s="4">
        <v>2.4E-2</v>
      </c>
      <c r="C8" s="4">
        <v>3.9E-2</v>
      </c>
      <c r="D8" s="4">
        <v>3.4000000000000002E-2</v>
      </c>
      <c r="E8" s="4">
        <v>2.9000000000000001E-2</v>
      </c>
      <c r="F8" s="3">
        <v>21.7</v>
      </c>
      <c r="G8" s="3">
        <v>3.5000000000000003E-2</v>
      </c>
      <c r="H8" s="19">
        <v>60</v>
      </c>
    </row>
    <row r="9" spans="1:8" x14ac:dyDescent="0.3">
      <c r="A9" s="10" t="s">
        <v>56</v>
      </c>
      <c r="B9" s="18">
        <v>1.2E-2</v>
      </c>
      <c r="C9" s="18">
        <v>1.2E-2</v>
      </c>
      <c r="D9" s="18">
        <v>1.2E-2</v>
      </c>
      <c r="E9" s="18">
        <v>1.2E-2</v>
      </c>
      <c r="F9" s="16">
        <v>4.2</v>
      </c>
      <c r="G9" s="16">
        <v>0.113</v>
      </c>
      <c r="H9" s="20">
        <v>25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686E1-5C92-48B4-9CB1-39638446FCE4}">
  <dimension ref="A1:F4"/>
  <sheetViews>
    <sheetView workbookViewId="0">
      <selection activeCell="C9" sqref="C9"/>
    </sheetView>
  </sheetViews>
  <sheetFormatPr defaultRowHeight="14.4" x14ac:dyDescent="0.3"/>
  <cols>
    <col min="1" max="1" width="21.21875" customWidth="1"/>
    <col min="2" max="2" width="16.77734375" customWidth="1"/>
    <col min="3" max="3" width="22.88671875" customWidth="1"/>
    <col min="4" max="5" width="22.77734375" customWidth="1"/>
    <col min="6" max="6" width="21.33203125" customWidth="1"/>
  </cols>
  <sheetData>
    <row r="1" spans="1:6" ht="57.6" x14ac:dyDescent="0.3">
      <c r="A1" s="7" t="s">
        <v>57</v>
      </c>
      <c r="B1" s="8" t="s">
        <v>58</v>
      </c>
      <c r="C1" s="8" t="s">
        <v>59</v>
      </c>
      <c r="D1" s="8" t="s">
        <v>60</v>
      </c>
      <c r="E1" s="8" t="s">
        <v>61</v>
      </c>
      <c r="F1" s="9" t="s">
        <v>62</v>
      </c>
    </row>
    <row r="2" spans="1:6" ht="43.2" x14ac:dyDescent="0.3">
      <c r="A2" s="5" t="s">
        <v>63</v>
      </c>
      <c r="B2" s="3">
        <v>395</v>
      </c>
      <c r="C2" s="3">
        <v>402</v>
      </c>
      <c r="D2" s="3">
        <v>481.5</v>
      </c>
      <c r="E2" s="3">
        <v>635</v>
      </c>
      <c r="F2" s="21">
        <v>0.1</v>
      </c>
    </row>
    <row r="3" spans="1:6" ht="28.8" x14ac:dyDescent="0.3">
      <c r="A3" s="5" t="s">
        <v>64</v>
      </c>
      <c r="B3" s="3">
        <v>525</v>
      </c>
      <c r="C3" s="3">
        <v>537</v>
      </c>
      <c r="D3" s="3">
        <v>643</v>
      </c>
      <c r="E3" s="3">
        <v>635</v>
      </c>
      <c r="F3" s="21">
        <v>0.1</v>
      </c>
    </row>
    <row r="4" spans="1:6" ht="28.8" x14ac:dyDescent="0.3">
      <c r="A4" s="10" t="s">
        <v>65</v>
      </c>
      <c r="B4" s="16">
        <v>460</v>
      </c>
      <c r="C4" s="16">
        <v>469.5</v>
      </c>
      <c r="D4" s="16">
        <v>562.29999999999995</v>
      </c>
      <c r="E4" s="16">
        <v>636</v>
      </c>
      <c r="F4" s="22">
        <v>0.1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7B706-CCCE-4547-9663-A50B7359574D}">
  <dimension ref="A1:E5"/>
  <sheetViews>
    <sheetView workbookViewId="0">
      <selection activeCell="E2" sqref="E2"/>
    </sheetView>
  </sheetViews>
  <sheetFormatPr defaultRowHeight="14.4" x14ac:dyDescent="0.3"/>
  <cols>
    <col min="1" max="1" width="21.21875" customWidth="1"/>
    <col min="2" max="2" width="23.44140625" customWidth="1"/>
    <col min="3" max="3" width="18.44140625" customWidth="1"/>
    <col min="4" max="4" width="22.109375" customWidth="1"/>
    <col min="5" max="5" width="23.109375" customWidth="1"/>
  </cols>
  <sheetData>
    <row r="1" spans="1:5" ht="43.2" x14ac:dyDescent="0.3">
      <c r="A1" s="7" t="s">
        <v>0</v>
      </c>
      <c r="B1" s="8" t="s">
        <v>66</v>
      </c>
      <c r="C1" s="8" t="s">
        <v>67</v>
      </c>
      <c r="D1" s="8" t="s">
        <v>68</v>
      </c>
      <c r="E1" s="9" t="s">
        <v>2</v>
      </c>
    </row>
    <row r="2" spans="1:5" ht="43.2" x14ac:dyDescent="0.3">
      <c r="A2" s="5" t="s">
        <v>69</v>
      </c>
      <c r="B2" s="23">
        <v>2.5000000000000001E-3</v>
      </c>
      <c r="C2" s="23">
        <v>5.0000000000000001E-3</v>
      </c>
      <c r="D2" s="23">
        <v>0.01</v>
      </c>
      <c r="E2" s="6" t="s">
        <v>70</v>
      </c>
    </row>
    <row r="3" spans="1:5" ht="28.8" x14ac:dyDescent="0.3">
      <c r="A3" s="5" t="s">
        <v>71</v>
      </c>
      <c r="B3" s="23">
        <v>8.3333000000000001E-3</v>
      </c>
      <c r="C3" s="23">
        <v>1.666666E-3</v>
      </c>
      <c r="D3" s="23">
        <v>3.3E-3</v>
      </c>
      <c r="E3" s="6" t="s">
        <v>70</v>
      </c>
    </row>
    <row r="4" spans="1:5" ht="28.8" x14ac:dyDescent="0.3">
      <c r="A4" s="5" t="s">
        <v>72</v>
      </c>
      <c r="B4" s="23">
        <v>0.05</v>
      </c>
      <c r="C4" s="24"/>
      <c r="D4" s="24"/>
      <c r="E4" s="6" t="s">
        <v>73</v>
      </c>
    </row>
    <row r="5" spans="1:5" ht="28.8" x14ac:dyDescent="0.3">
      <c r="A5" s="10" t="s">
        <v>74</v>
      </c>
      <c r="B5" s="25">
        <v>2.5000000000000001E-2</v>
      </c>
      <c r="C5" s="26"/>
      <c r="D5" s="26"/>
      <c r="E5" s="13" t="s">
        <v>73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A296B-53CF-460D-ABFA-D3DB1B97AB1A}">
  <dimension ref="A1:G4"/>
  <sheetViews>
    <sheetView workbookViewId="0">
      <selection activeCell="G2" sqref="G2"/>
    </sheetView>
  </sheetViews>
  <sheetFormatPr defaultRowHeight="14.4" x14ac:dyDescent="0.3"/>
  <cols>
    <col min="1" max="1" width="20" customWidth="1"/>
    <col min="2" max="2" width="19.6640625" customWidth="1"/>
    <col min="3" max="3" width="15.88671875" customWidth="1"/>
    <col min="4" max="4" width="16.44140625" customWidth="1"/>
    <col min="5" max="5" width="47.44140625" customWidth="1"/>
    <col min="6" max="6" width="51" customWidth="1"/>
    <col min="7" max="7" width="46.6640625" customWidth="1"/>
  </cols>
  <sheetData>
    <row r="1" spans="1:7" ht="129.6" x14ac:dyDescent="0.3">
      <c r="A1" s="7" t="s">
        <v>75</v>
      </c>
      <c r="B1" s="8" t="s">
        <v>76</v>
      </c>
      <c r="C1" s="8" t="s">
        <v>77</v>
      </c>
      <c r="D1" s="8" t="s">
        <v>78</v>
      </c>
      <c r="E1" s="8" t="s">
        <v>79</v>
      </c>
      <c r="F1" s="8" t="s">
        <v>80</v>
      </c>
      <c r="G1" s="9" t="s">
        <v>81</v>
      </c>
    </row>
    <row r="2" spans="1:7" x14ac:dyDescent="0.3">
      <c r="A2" s="5" t="s">
        <v>82</v>
      </c>
      <c r="B2" s="4">
        <v>0.08</v>
      </c>
      <c r="C2" s="4">
        <v>2.5000000000000001E-2</v>
      </c>
      <c r="D2" s="3">
        <v>46</v>
      </c>
      <c r="E2" s="4">
        <v>0.5</v>
      </c>
      <c r="F2" s="4">
        <v>0.62</v>
      </c>
      <c r="G2" s="21">
        <v>0.73</v>
      </c>
    </row>
    <row r="3" spans="1:7" x14ac:dyDescent="0.3">
      <c r="A3" s="5" t="s">
        <v>83</v>
      </c>
      <c r="B3" s="4">
        <v>7.0000000000000007E-2</v>
      </c>
      <c r="C3" s="4">
        <v>0.02</v>
      </c>
      <c r="D3" s="3">
        <v>39</v>
      </c>
      <c r="E3" s="4">
        <v>0.5</v>
      </c>
      <c r="F3" s="4">
        <v>0.62</v>
      </c>
      <c r="G3" s="21">
        <v>0.73</v>
      </c>
    </row>
    <row r="4" spans="1:7" x14ac:dyDescent="0.3">
      <c r="A4" s="10" t="s">
        <v>84</v>
      </c>
      <c r="B4" s="18">
        <v>0.06</v>
      </c>
      <c r="C4" s="18">
        <v>1.4999999999999999E-2</v>
      </c>
      <c r="D4" s="16">
        <v>32</v>
      </c>
      <c r="E4" s="18">
        <v>0.5</v>
      </c>
      <c r="F4" s="18">
        <v>0.62</v>
      </c>
      <c r="G4" s="22">
        <v>0.73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58BD6-1FCB-4065-BF53-0367B9609E23}">
  <dimension ref="A1:D5"/>
  <sheetViews>
    <sheetView workbookViewId="0">
      <selection activeCell="D5" sqref="D5"/>
    </sheetView>
  </sheetViews>
  <sheetFormatPr defaultRowHeight="14.4" x14ac:dyDescent="0.3"/>
  <cols>
    <col min="1" max="1" width="11.88671875" customWidth="1"/>
    <col min="2" max="2" width="17.6640625" customWidth="1"/>
    <col min="3" max="3" width="19.5546875" customWidth="1"/>
    <col min="4" max="4" width="17.21875" customWidth="1"/>
  </cols>
  <sheetData>
    <row r="1" spans="1:4" ht="43.2" x14ac:dyDescent="0.3">
      <c r="A1" s="7" t="s">
        <v>85</v>
      </c>
      <c r="B1" s="8" t="s">
        <v>86</v>
      </c>
      <c r="C1" s="8" t="s">
        <v>87</v>
      </c>
      <c r="D1" s="9" t="s">
        <v>88</v>
      </c>
    </row>
    <row r="2" spans="1:4" x14ac:dyDescent="0.3">
      <c r="A2" s="5" t="s">
        <v>89</v>
      </c>
      <c r="B2" s="3">
        <v>12.8</v>
      </c>
      <c r="C2" s="1">
        <v>12967</v>
      </c>
      <c r="D2" s="27">
        <v>0.01</v>
      </c>
    </row>
    <row r="3" spans="1:4" x14ac:dyDescent="0.3">
      <c r="A3" s="5" t="s">
        <v>90</v>
      </c>
      <c r="B3" s="3">
        <v>20</v>
      </c>
      <c r="C3" s="1">
        <v>7734</v>
      </c>
      <c r="D3" s="27">
        <v>0.01</v>
      </c>
    </row>
    <row r="4" spans="1:4" ht="28.8" x14ac:dyDescent="0.3">
      <c r="A4" s="5" t="s">
        <v>91</v>
      </c>
      <c r="B4" s="3">
        <v>7</v>
      </c>
      <c r="C4" s="1">
        <v>6341</v>
      </c>
      <c r="D4" s="27">
        <v>0.05</v>
      </c>
    </row>
    <row r="5" spans="1:4" x14ac:dyDescent="0.3">
      <c r="A5" s="10" t="s">
        <v>92</v>
      </c>
      <c r="B5" s="16">
        <v>11.2</v>
      </c>
      <c r="C5" s="11">
        <v>649</v>
      </c>
      <c r="D5" s="28">
        <v>0.05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9BEEF-A333-411D-B0A4-4BBD49EB1CC5}">
  <dimension ref="A1:C8"/>
  <sheetViews>
    <sheetView topLeftCell="A2" workbookViewId="0">
      <selection activeCell="B9" sqref="B9"/>
    </sheetView>
  </sheetViews>
  <sheetFormatPr defaultRowHeight="14.4" x14ac:dyDescent="0.3"/>
  <cols>
    <col min="1" max="1" width="27.5546875" customWidth="1"/>
    <col min="2" max="2" width="30" customWidth="1"/>
    <col min="3" max="3" width="23.6640625" customWidth="1"/>
  </cols>
  <sheetData>
    <row r="1" spans="1:3" ht="28.8" x14ac:dyDescent="0.3">
      <c r="A1" s="7" t="s">
        <v>0</v>
      </c>
      <c r="B1" s="8" t="s">
        <v>1</v>
      </c>
      <c r="C1" s="9" t="s">
        <v>2</v>
      </c>
    </row>
    <row r="2" spans="1:3" x14ac:dyDescent="0.3">
      <c r="A2" s="5" t="s">
        <v>93</v>
      </c>
      <c r="B2" s="1">
        <v>126094</v>
      </c>
      <c r="C2" s="6" t="s">
        <v>94</v>
      </c>
    </row>
    <row r="3" spans="1:3" ht="43.2" x14ac:dyDescent="0.3">
      <c r="A3" s="5" t="s">
        <v>95</v>
      </c>
      <c r="B3" s="4">
        <v>0.21</v>
      </c>
      <c r="C3" s="6" t="s">
        <v>14</v>
      </c>
    </row>
    <row r="4" spans="1:3" ht="28.8" x14ac:dyDescent="0.3">
      <c r="A4" s="5" t="s">
        <v>96</v>
      </c>
      <c r="B4" s="1">
        <v>208703</v>
      </c>
      <c r="C4" s="6" t="s">
        <v>94</v>
      </c>
    </row>
    <row r="5" spans="1:3" ht="72" x14ac:dyDescent="0.3">
      <c r="A5" s="14" t="s">
        <v>97</v>
      </c>
      <c r="B5" s="4">
        <v>0.39</v>
      </c>
      <c r="C5" s="6" t="s">
        <v>14</v>
      </c>
    </row>
    <row r="6" spans="1:3" ht="43.2" x14ac:dyDescent="0.3">
      <c r="A6" s="5" t="s">
        <v>98</v>
      </c>
      <c r="B6" s="29">
        <v>1.1000000000000001</v>
      </c>
      <c r="C6" s="6" t="s">
        <v>99</v>
      </c>
    </row>
    <row r="7" spans="1:3" ht="43.2" x14ac:dyDescent="0.3">
      <c r="A7" s="5" t="s">
        <v>100</v>
      </c>
      <c r="B7" s="29">
        <v>1.2</v>
      </c>
      <c r="C7" s="6" t="s">
        <v>99</v>
      </c>
    </row>
    <row r="8" spans="1:3" ht="43.2" x14ac:dyDescent="0.3">
      <c r="A8" s="10" t="s">
        <v>101</v>
      </c>
      <c r="B8" s="30">
        <v>1.35</v>
      </c>
      <c r="C8" s="13" t="s">
        <v>99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0C133-2FD7-42FE-A4B9-36A0529F1E85}">
  <dimension ref="A1:E11"/>
  <sheetViews>
    <sheetView topLeftCell="A3" workbookViewId="0">
      <selection activeCell="G14" sqref="G14"/>
    </sheetView>
  </sheetViews>
  <sheetFormatPr defaultRowHeight="14.4" x14ac:dyDescent="0.3"/>
  <cols>
    <col min="1" max="1" width="20.21875" customWidth="1"/>
    <col min="2" max="2" width="24.77734375" customWidth="1"/>
    <col min="3" max="3" width="23.33203125" customWidth="1"/>
    <col min="4" max="4" width="18" customWidth="1"/>
  </cols>
  <sheetData>
    <row r="1" spans="1:5" ht="43.2" x14ac:dyDescent="0.3">
      <c r="A1" s="7" t="s">
        <v>102</v>
      </c>
      <c r="B1" s="8" t="s">
        <v>103</v>
      </c>
      <c r="C1" s="8" t="s">
        <v>24</v>
      </c>
      <c r="D1" s="8" t="s">
        <v>104</v>
      </c>
      <c r="E1" s="9" t="s">
        <v>2</v>
      </c>
    </row>
    <row r="2" spans="1:5" x14ac:dyDescent="0.3">
      <c r="A2" s="5" t="s">
        <v>105</v>
      </c>
      <c r="B2" s="1">
        <v>14692</v>
      </c>
      <c r="C2" s="1">
        <v>10592</v>
      </c>
      <c r="D2" s="1">
        <v>5778</v>
      </c>
      <c r="E2" s="6" t="s">
        <v>106</v>
      </c>
    </row>
    <row r="3" spans="1:5" x14ac:dyDescent="0.3">
      <c r="A3" s="5" t="s">
        <v>107</v>
      </c>
      <c r="B3" s="1">
        <v>12432</v>
      </c>
      <c r="C3" s="1">
        <v>8962</v>
      </c>
      <c r="D3" s="1">
        <v>4889</v>
      </c>
      <c r="E3" s="6" t="s">
        <v>106</v>
      </c>
    </row>
    <row r="4" spans="1:5" x14ac:dyDescent="0.3">
      <c r="A4" s="5" t="s">
        <v>108</v>
      </c>
      <c r="B4" s="1">
        <v>10171</v>
      </c>
      <c r="C4" s="1">
        <v>7333</v>
      </c>
      <c r="D4" s="1">
        <v>4000</v>
      </c>
      <c r="E4" s="6" t="s">
        <v>106</v>
      </c>
    </row>
    <row r="5" spans="1:5" ht="28.8" x14ac:dyDescent="0.3">
      <c r="A5" s="5" t="s">
        <v>109</v>
      </c>
      <c r="B5" s="1">
        <v>9041</v>
      </c>
      <c r="C5" s="1">
        <v>6518</v>
      </c>
      <c r="D5" s="1">
        <v>3556</v>
      </c>
      <c r="E5" s="6" t="s">
        <v>106</v>
      </c>
    </row>
    <row r="6" spans="1:5" ht="28.8" x14ac:dyDescent="0.3">
      <c r="A6" s="5" t="s">
        <v>110</v>
      </c>
      <c r="B6" s="1">
        <v>6781</v>
      </c>
      <c r="C6" s="1">
        <v>4888</v>
      </c>
      <c r="D6" s="1">
        <v>2667</v>
      </c>
      <c r="E6" s="6" t="s">
        <v>106</v>
      </c>
    </row>
    <row r="7" spans="1:5" x14ac:dyDescent="0.3">
      <c r="A7" s="5" t="s">
        <v>111</v>
      </c>
      <c r="B7" s="1">
        <v>12565</v>
      </c>
      <c r="C7" s="1">
        <v>9058</v>
      </c>
      <c r="D7" s="1">
        <v>4942</v>
      </c>
      <c r="E7" s="6" t="s">
        <v>106</v>
      </c>
    </row>
    <row r="8" spans="1:5" x14ac:dyDescent="0.3">
      <c r="A8" s="5" t="s">
        <v>112</v>
      </c>
      <c r="B8" s="1">
        <v>10632</v>
      </c>
      <c r="C8" s="1">
        <v>7665</v>
      </c>
      <c r="D8" s="1">
        <v>4182</v>
      </c>
      <c r="E8" s="6" t="s">
        <v>106</v>
      </c>
    </row>
    <row r="9" spans="1:5" x14ac:dyDescent="0.3">
      <c r="A9" s="5" t="s">
        <v>113</v>
      </c>
      <c r="B9" s="1">
        <v>8699</v>
      </c>
      <c r="C9" s="1">
        <v>6271</v>
      </c>
      <c r="D9" s="1">
        <v>3421</v>
      </c>
      <c r="E9" s="6" t="s">
        <v>106</v>
      </c>
    </row>
    <row r="10" spans="1:5" ht="28.8" x14ac:dyDescent="0.3">
      <c r="A10" s="5" t="s">
        <v>114</v>
      </c>
      <c r="B10" s="1">
        <v>7732</v>
      </c>
      <c r="C10" s="1">
        <v>5574</v>
      </c>
      <c r="D10" s="1">
        <v>3041</v>
      </c>
      <c r="E10" s="6" t="s">
        <v>106</v>
      </c>
    </row>
    <row r="11" spans="1:5" x14ac:dyDescent="0.3">
      <c r="A11" s="10" t="s">
        <v>115</v>
      </c>
      <c r="B11" s="11">
        <v>5799</v>
      </c>
      <c r="C11" s="11">
        <v>4181</v>
      </c>
      <c r="D11" s="11">
        <v>2281</v>
      </c>
      <c r="E11" s="13" t="s">
        <v>106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E61D5-0B84-4592-BB83-54739BA79640}">
  <dimension ref="A1:F16"/>
  <sheetViews>
    <sheetView tabSelected="1" topLeftCell="A4" workbookViewId="0">
      <selection activeCell="D12" sqref="D12"/>
    </sheetView>
  </sheetViews>
  <sheetFormatPr defaultRowHeight="14.4" x14ac:dyDescent="0.3"/>
  <cols>
    <col min="1" max="1" width="26.44140625" customWidth="1"/>
    <col min="2" max="2" width="29.109375" customWidth="1"/>
    <col min="3" max="3" width="15" customWidth="1"/>
    <col min="4" max="4" width="16.21875" customWidth="1"/>
    <col min="5" max="5" width="11.109375" customWidth="1"/>
    <col min="6" max="6" width="12.33203125" customWidth="1"/>
  </cols>
  <sheetData>
    <row r="1" spans="1:6" ht="28.8" x14ac:dyDescent="0.3">
      <c r="A1" s="7" t="s">
        <v>116</v>
      </c>
      <c r="B1" s="8" t="s">
        <v>117</v>
      </c>
      <c r="C1" s="8" t="s">
        <v>118</v>
      </c>
      <c r="D1" s="8" t="s">
        <v>119</v>
      </c>
      <c r="E1" s="8" t="s">
        <v>120</v>
      </c>
      <c r="F1" s="9" t="s">
        <v>121</v>
      </c>
    </row>
    <row r="2" spans="1:6" ht="43.2" x14ac:dyDescent="0.3">
      <c r="A2" s="5" t="s">
        <v>122</v>
      </c>
      <c r="B2" s="2" t="s">
        <v>123</v>
      </c>
      <c r="C2" s="4">
        <v>0.5</v>
      </c>
      <c r="D2" s="4">
        <v>0.15</v>
      </c>
      <c r="E2" s="4">
        <v>0.15</v>
      </c>
      <c r="F2" s="31">
        <v>1</v>
      </c>
    </row>
    <row r="3" spans="1:6" ht="43.2" x14ac:dyDescent="0.3">
      <c r="A3" s="5" t="s">
        <v>122</v>
      </c>
      <c r="B3" s="2" t="s">
        <v>124</v>
      </c>
      <c r="C3" s="4">
        <v>0.3</v>
      </c>
      <c r="D3" s="4">
        <v>7.4999999999999997E-2</v>
      </c>
      <c r="E3" s="4">
        <v>7.4999999999999997E-2</v>
      </c>
      <c r="F3" s="31">
        <v>1</v>
      </c>
    </row>
    <row r="4" spans="1:6" ht="43.2" x14ac:dyDescent="0.3">
      <c r="A4" s="5" t="s">
        <v>122</v>
      </c>
      <c r="B4" s="2" t="s">
        <v>125</v>
      </c>
      <c r="C4" s="4">
        <v>0.1</v>
      </c>
      <c r="D4" s="4">
        <v>2.5000000000000001E-2</v>
      </c>
      <c r="E4" s="4">
        <v>2.5000000000000001E-2</v>
      </c>
      <c r="F4" s="31">
        <v>1</v>
      </c>
    </row>
    <row r="5" spans="1:6" ht="28.8" x14ac:dyDescent="0.3">
      <c r="A5" s="5" t="s">
        <v>126</v>
      </c>
      <c r="B5" s="2" t="s">
        <v>123</v>
      </c>
      <c r="C5" s="4">
        <v>0.6</v>
      </c>
      <c r="D5" s="4">
        <v>0.55000000000000004</v>
      </c>
      <c r="E5" s="4">
        <v>0</v>
      </c>
      <c r="F5" s="31">
        <v>1.1000000000000001</v>
      </c>
    </row>
    <row r="6" spans="1:6" ht="28.8" x14ac:dyDescent="0.3">
      <c r="A6" s="5" t="s">
        <v>126</v>
      </c>
      <c r="B6" s="2" t="s">
        <v>124</v>
      </c>
      <c r="C6" s="4">
        <v>0.4</v>
      </c>
      <c r="D6" s="4">
        <v>0.3</v>
      </c>
      <c r="E6" s="4">
        <v>0</v>
      </c>
      <c r="F6" s="31">
        <v>1.2</v>
      </c>
    </row>
    <row r="7" spans="1:6" ht="28.8" x14ac:dyDescent="0.3">
      <c r="A7" s="5" t="s">
        <v>126</v>
      </c>
      <c r="B7" s="2" t="s">
        <v>125</v>
      </c>
      <c r="C7" s="4">
        <v>0.15</v>
      </c>
      <c r="D7" s="4">
        <v>0.1</v>
      </c>
      <c r="E7" s="4">
        <v>0</v>
      </c>
      <c r="F7" s="31">
        <v>1.35</v>
      </c>
    </row>
    <row r="8" spans="1:6" ht="28.8" x14ac:dyDescent="0.3">
      <c r="A8" s="5" t="s">
        <v>127</v>
      </c>
      <c r="B8" s="2" t="s">
        <v>123</v>
      </c>
      <c r="C8" s="4">
        <v>0.6</v>
      </c>
      <c r="D8" s="4">
        <v>0.4</v>
      </c>
      <c r="E8" s="4">
        <v>0.6</v>
      </c>
      <c r="F8" s="31">
        <v>1.1000000000000001</v>
      </c>
    </row>
    <row r="9" spans="1:6" ht="28.8" x14ac:dyDescent="0.3">
      <c r="A9" s="5" t="s">
        <v>127</v>
      </c>
      <c r="B9" s="2" t="s">
        <v>124</v>
      </c>
      <c r="C9" s="4">
        <v>0.4</v>
      </c>
      <c r="D9" s="4">
        <v>0.25</v>
      </c>
      <c r="E9" s="4">
        <v>0.4</v>
      </c>
      <c r="F9" s="31">
        <v>1.2</v>
      </c>
    </row>
    <row r="10" spans="1:6" ht="28.8" x14ac:dyDescent="0.3">
      <c r="A10" s="5" t="s">
        <v>127</v>
      </c>
      <c r="B10" s="2" t="s">
        <v>125</v>
      </c>
      <c r="C10" s="4">
        <v>0.15</v>
      </c>
      <c r="D10" s="4">
        <v>0.1</v>
      </c>
      <c r="E10" s="4">
        <v>0.15</v>
      </c>
      <c r="F10" s="31">
        <v>1.35</v>
      </c>
    </row>
    <row r="11" spans="1:6" x14ac:dyDescent="0.3">
      <c r="A11" s="5" t="s">
        <v>128</v>
      </c>
      <c r="B11" s="2" t="s">
        <v>123</v>
      </c>
      <c r="C11" s="4">
        <v>0.625</v>
      </c>
      <c r="D11" s="4">
        <v>0.55000000000000004</v>
      </c>
      <c r="E11" s="4">
        <v>0.4</v>
      </c>
      <c r="F11" s="31">
        <v>1</v>
      </c>
    </row>
    <row r="12" spans="1:6" ht="28.8" x14ac:dyDescent="0.3">
      <c r="A12" s="5" t="s">
        <v>128</v>
      </c>
      <c r="B12" s="2" t="s">
        <v>124</v>
      </c>
      <c r="C12" s="4">
        <v>0.4</v>
      </c>
      <c r="D12" s="4">
        <v>0.3</v>
      </c>
      <c r="E12" s="4">
        <v>0.2</v>
      </c>
      <c r="F12" s="31">
        <v>1</v>
      </c>
    </row>
    <row r="13" spans="1:6" x14ac:dyDescent="0.3">
      <c r="A13" s="5" t="s">
        <v>128</v>
      </c>
      <c r="B13" s="2" t="s">
        <v>125</v>
      </c>
      <c r="C13" s="4">
        <v>0.15</v>
      </c>
      <c r="D13" s="4">
        <v>0.1</v>
      </c>
      <c r="E13" s="4">
        <v>0.05</v>
      </c>
      <c r="F13" s="31">
        <v>1</v>
      </c>
    </row>
    <row r="14" spans="1:6" x14ac:dyDescent="0.3">
      <c r="A14" s="5" t="s">
        <v>185</v>
      </c>
      <c r="B14" s="2"/>
      <c r="C14" s="4"/>
      <c r="D14" s="4"/>
      <c r="E14" s="4">
        <v>0.05</v>
      </c>
      <c r="F14" s="31"/>
    </row>
    <row r="15" spans="1:6" ht="28.8" x14ac:dyDescent="0.3">
      <c r="A15" s="5" t="s">
        <v>186</v>
      </c>
      <c r="B15" s="2"/>
      <c r="C15" s="4"/>
      <c r="D15" s="4"/>
      <c r="E15" s="4">
        <v>0.05</v>
      </c>
      <c r="F15" s="31"/>
    </row>
    <row r="16" spans="1:6" ht="28.8" x14ac:dyDescent="0.3">
      <c r="A16" s="5" t="s">
        <v>129</v>
      </c>
      <c r="B16" s="2"/>
      <c r="C16" s="4">
        <v>0.2</v>
      </c>
      <c r="D16" s="4">
        <v>0</v>
      </c>
      <c r="E16" s="4">
        <v>0.05</v>
      </c>
      <c r="F16" s="31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A9CAC-62D4-452C-BB78-144BBE929EEE}">
  <dimension ref="A1:D3"/>
  <sheetViews>
    <sheetView workbookViewId="0">
      <selection activeCell="E10" sqref="E10"/>
    </sheetView>
  </sheetViews>
  <sheetFormatPr defaultRowHeight="14.4" x14ac:dyDescent="0.3"/>
  <cols>
    <col min="1" max="1" width="19" customWidth="1"/>
    <col min="4" max="4" width="43.5546875" customWidth="1"/>
  </cols>
  <sheetData>
    <row r="1" spans="1:4" x14ac:dyDescent="0.3">
      <c r="A1" s="36" t="s">
        <v>0</v>
      </c>
      <c r="B1" s="37" t="s">
        <v>1</v>
      </c>
      <c r="C1" s="38" t="s">
        <v>154</v>
      </c>
      <c r="D1" s="39" t="s">
        <v>179</v>
      </c>
    </row>
    <row r="2" spans="1:4" ht="28.8" x14ac:dyDescent="0.3">
      <c r="A2" s="34" t="s">
        <v>131</v>
      </c>
      <c r="B2" s="33">
        <v>3.5000000000000003E-2</v>
      </c>
      <c r="C2" s="32" t="s">
        <v>132</v>
      </c>
      <c r="D2" s="35" t="s">
        <v>133</v>
      </c>
    </row>
    <row r="3" spans="1:4" ht="28.8" x14ac:dyDescent="0.3">
      <c r="A3" s="40" t="s">
        <v>134</v>
      </c>
      <c r="B3" s="41">
        <v>1.4999999999999999E-2</v>
      </c>
      <c r="C3" s="42" t="s">
        <v>132</v>
      </c>
      <c r="D3" s="43" t="s">
        <v>135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D6864-3F99-45DC-A8E1-61B546C21002}">
  <dimension ref="A1:D4"/>
  <sheetViews>
    <sheetView workbookViewId="0">
      <selection activeCell="O28" sqref="O28"/>
    </sheetView>
  </sheetViews>
  <sheetFormatPr defaultRowHeight="14.4" x14ac:dyDescent="0.3"/>
  <cols>
    <col min="1" max="4" width="11.77734375" customWidth="1"/>
  </cols>
  <sheetData>
    <row r="1" spans="1:4" ht="15" thickBot="1" x14ac:dyDescent="0.35">
      <c r="A1" s="36" t="s">
        <v>177</v>
      </c>
      <c r="B1" s="48" t="s">
        <v>1</v>
      </c>
      <c r="C1" s="38" t="s">
        <v>154</v>
      </c>
      <c r="D1" s="39" t="s">
        <v>178</v>
      </c>
    </row>
    <row r="2" spans="1:4" ht="72" x14ac:dyDescent="0.3">
      <c r="A2" s="46" t="s">
        <v>136</v>
      </c>
      <c r="B2" s="44">
        <v>1.4999999999999999E-2</v>
      </c>
      <c r="C2" s="45" t="s">
        <v>132</v>
      </c>
      <c r="D2" s="47" t="s">
        <v>137</v>
      </c>
    </row>
    <row r="3" spans="1:4" ht="72" x14ac:dyDescent="0.3">
      <c r="A3" s="34" t="s">
        <v>138</v>
      </c>
      <c r="B3" s="33">
        <v>3.5000000000000003E-2</v>
      </c>
      <c r="C3" s="32" t="s">
        <v>132</v>
      </c>
      <c r="D3" s="35" t="s">
        <v>139</v>
      </c>
    </row>
    <row r="4" spans="1:4" ht="57.6" x14ac:dyDescent="0.3">
      <c r="A4" s="40" t="s">
        <v>140</v>
      </c>
      <c r="B4" s="42">
        <v>0</v>
      </c>
      <c r="C4" s="42" t="s">
        <v>130</v>
      </c>
      <c r="D4" s="43" t="s">
        <v>141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64448-B0BD-44C9-9E47-73F1B6F59CE2}">
  <dimension ref="A1:D8"/>
  <sheetViews>
    <sheetView workbookViewId="0">
      <selection activeCell="A8" sqref="A8"/>
    </sheetView>
  </sheetViews>
  <sheetFormatPr defaultRowHeight="14.4" x14ac:dyDescent="0.3"/>
  <cols>
    <col min="1" max="1" width="29.5546875" customWidth="1"/>
    <col min="2" max="2" width="24.88671875" customWidth="1"/>
    <col min="3" max="3" width="25" customWidth="1"/>
    <col min="4" max="4" width="19.77734375" customWidth="1"/>
  </cols>
  <sheetData>
    <row r="1" spans="1:4" x14ac:dyDescent="0.3">
      <c r="A1" s="36" t="s">
        <v>0</v>
      </c>
      <c r="B1" s="52" t="s">
        <v>1</v>
      </c>
      <c r="C1" s="38" t="s">
        <v>154</v>
      </c>
      <c r="D1" s="39" t="s">
        <v>178</v>
      </c>
    </row>
    <row r="2" spans="1:4" ht="57.6" x14ac:dyDescent="0.3">
      <c r="A2" s="34" t="s">
        <v>142</v>
      </c>
      <c r="B2" s="49">
        <v>0.2</v>
      </c>
      <c r="C2" s="32" t="s">
        <v>14</v>
      </c>
      <c r="D2" s="35" t="s">
        <v>143</v>
      </c>
    </row>
    <row r="3" spans="1:4" ht="43.2" x14ac:dyDescent="0.3">
      <c r="A3" s="34" t="s">
        <v>144</v>
      </c>
      <c r="B3" s="50">
        <v>19389</v>
      </c>
      <c r="C3" s="32" t="s">
        <v>145</v>
      </c>
      <c r="D3" s="35" t="s">
        <v>146</v>
      </c>
    </row>
    <row r="4" spans="1:4" ht="43.2" x14ac:dyDescent="0.3">
      <c r="A4" s="34" t="s">
        <v>147</v>
      </c>
      <c r="B4" s="50">
        <v>14395</v>
      </c>
      <c r="C4" s="32" t="s">
        <v>145</v>
      </c>
      <c r="D4" s="35" t="s">
        <v>146</v>
      </c>
    </row>
    <row r="5" spans="1:4" ht="28.8" x14ac:dyDescent="0.3">
      <c r="A5" s="34" t="s">
        <v>148</v>
      </c>
      <c r="B5" s="50">
        <f>B3-B4</f>
        <v>4994</v>
      </c>
      <c r="C5" s="32" t="s">
        <v>145</v>
      </c>
      <c r="D5" s="35" t="s">
        <v>149</v>
      </c>
    </row>
    <row r="6" spans="1:4" ht="43.2" x14ac:dyDescent="0.3">
      <c r="A6" s="34" t="s">
        <v>150</v>
      </c>
      <c r="B6" s="32"/>
      <c r="C6" s="32"/>
      <c r="D6" s="35"/>
    </row>
    <row r="7" spans="1:4" ht="28.8" x14ac:dyDescent="0.3">
      <c r="A7" s="34" t="s">
        <v>151</v>
      </c>
      <c r="B7" s="51">
        <v>1.071</v>
      </c>
      <c r="C7" s="32" t="s">
        <v>99</v>
      </c>
      <c r="D7" s="35" t="s">
        <v>152</v>
      </c>
    </row>
    <row r="8" spans="1:4" ht="28.8" x14ac:dyDescent="0.3">
      <c r="A8" s="40" t="s">
        <v>153</v>
      </c>
      <c r="B8" s="53">
        <v>1.208</v>
      </c>
      <c r="C8" s="42" t="s">
        <v>99</v>
      </c>
      <c r="D8" s="43" t="s">
        <v>152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02ADB-D7EF-4AF2-AD19-5EEDB1A4D8F5}">
  <dimension ref="A1:D4"/>
  <sheetViews>
    <sheetView workbookViewId="0">
      <selection activeCell="B4" sqref="B4"/>
    </sheetView>
  </sheetViews>
  <sheetFormatPr defaultRowHeight="14.4" x14ac:dyDescent="0.3"/>
  <cols>
    <col min="1" max="1" width="16.77734375" customWidth="1"/>
    <col min="2" max="2" width="21.21875" customWidth="1"/>
    <col min="3" max="3" width="14.44140625" customWidth="1"/>
    <col min="4" max="4" width="20.77734375" customWidth="1"/>
  </cols>
  <sheetData>
    <row r="1" spans="1:4" x14ac:dyDescent="0.3">
      <c r="A1" s="36" t="s">
        <v>0</v>
      </c>
      <c r="B1" s="52" t="s">
        <v>1</v>
      </c>
      <c r="C1" s="38" t="s">
        <v>154</v>
      </c>
      <c r="D1" s="39" t="s">
        <v>178</v>
      </c>
    </row>
    <row r="2" spans="1:4" ht="43.2" x14ac:dyDescent="0.3">
      <c r="A2" s="34" t="s">
        <v>155</v>
      </c>
      <c r="B2" s="49">
        <v>0.22</v>
      </c>
      <c r="C2" s="32" t="s">
        <v>14</v>
      </c>
      <c r="D2" s="35" t="s">
        <v>156</v>
      </c>
    </row>
    <row r="3" spans="1:4" ht="43.2" x14ac:dyDescent="0.3">
      <c r="A3" s="34" t="s">
        <v>157</v>
      </c>
      <c r="B3" s="49">
        <v>0.45</v>
      </c>
      <c r="C3" s="32" t="s">
        <v>14</v>
      </c>
      <c r="D3" s="35" t="s">
        <v>158</v>
      </c>
    </row>
    <row r="4" spans="1:4" ht="43.2" x14ac:dyDescent="0.3">
      <c r="A4" s="40" t="s">
        <v>159</v>
      </c>
      <c r="B4" s="53">
        <v>0.33</v>
      </c>
      <c r="C4" s="42" t="s">
        <v>160</v>
      </c>
      <c r="D4" s="43" t="s">
        <v>161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B1AB2-6280-41E6-9B07-E08DC59A82DA}">
  <dimension ref="A1:D6"/>
  <sheetViews>
    <sheetView workbookViewId="0">
      <selection activeCell="D25" sqref="D25"/>
    </sheetView>
  </sheetViews>
  <sheetFormatPr defaultRowHeight="14.4" x14ac:dyDescent="0.3"/>
  <cols>
    <col min="1" max="1" width="11.88671875" customWidth="1"/>
    <col min="2" max="2" width="21" customWidth="1"/>
    <col min="3" max="3" width="23.21875" customWidth="1"/>
    <col min="4" max="4" width="33.88671875" customWidth="1"/>
  </cols>
  <sheetData>
    <row r="1" spans="1:4" ht="43.2" x14ac:dyDescent="0.3">
      <c r="A1" s="36" t="s">
        <v>85</v>
      </c>
      <c r="B1" s="38" t="s">
        <v>162</v>
      </c>
      <c r="C1" s="38" t="s">
        <v>163</v>
      </c>
      <c r="D1" s="39" t="s">
        <v>164</v>
      </c>
    </row>
    <row r="2" spans="1:4" ht="57.6" x14ac:dyDescent="0.3">
      <c r="A2" s="34" t="s">
        <v>165</v>
      </c>
      <c r="B2" s="54">
        <v>15</v>
      </c>
      <c r="C2" s="50">
        <v>43106</v>
      </c>
      <c r="D2" s="35" t="s">
        <v>166</v>
      </c>
    </row>
    <row r="3" spans="1:4" ht="43.2" x14ac:dyDescent="0.3">
      <c r="A3" s="34" t="s">
        <v>167</v>
      </c>
      <c r="B3" s="54">
        <v>15</v>
      </c>
      <c r="C3" s="50">
        <v>29915</v>
      </c>
      <c r="D3" s="35" t="s">
        <v>166</v>
      </c>
    </row>
    <row r="4" spans="1:4" ht="43.2" x14ac:dyDescent="0.3">
      <c r="A4" s="34" t="s">
        <v>168</v>
      </c>
      <c r="B4" s="54">
        <v>12</v>
      </c>
      <c r="C4" s="50">
        <v>61396</v>
      </c>
      <c r="D4" s="35" t="s">
        <v>166</v>
      </c>
    </row>
    <row r="5" spans="1:4" ht="43.2" x14ac:dyDescent="0.3">
      <c r="A5" s="34" t="s">
        <v>169</v>
      </c>
      <c r="B5" s="54">
        <v>35</v>
      </c>
      <c r="C5" s="50">
        <v>55225</v>
      </c>
      <c r="D5" s="35" t="s">
        <v>166</v>
      </c>
    </row>
    <row r="6" spans="1:4" ht="57.6" x14ac:dyDescent="0.3">
      <c r="A6" s="40" t="s">
        <v>170</v>
      </c>
      <c r="B6" s="55">
        <v>100</v>
      </c>
      <c r="C6" s="56">
        <v>35862</v>
      </c>
      <c r="D6" s="43" t="s">
        <v>166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659EF-4E3A-49F4-8E06-ACEC5A265266}">
  <dimension ref="A1:B5"/>
  <sheetViews>
    <sheetView workbookViewId="0">
      <selection activeCell="G9" sqref="G9"/>
    </sheetView>
  </sheetViews>
  <sheetFormatPr defaultRowHeight="14.4" x14ac:dyDescent="0.3"/>
  <cols>
    <col min="1" max="1" width="26.88671875" customWidth="1"/>
    <col min="2" max="2" width="15.109375" customWidth="1"/>
  </cols>
  <sheetData>
    <row r="1" spans="1:2" x14ac:dyDescent="0.3">
      <c r="A1" s="59" t="s">
        <v>0</v>
      </c>
      <c r="B1" s="60" t="s">
        <v>1</v>
      </c>
    </row>
    <row r="2" spans="1:2" x14ac:dyDescent="0.3">
      <c r="A2" s="57" t="s">
        <v>180</v>
      </c>
      <c r="B2" s="60">
        <v>10</v>
      </c>
    </row>
    <row r="3" spans="1:2" x14ac:dyDescent="0.3">
      <c r="A3" s="57" t="s">
        <v>171</v>
      </c>
      <c r="B3" s="58">
        <v>3.5000000000000003E-2</v>
      </c>
    </row>
    <row r="4" spans="1:2" x14ac:dyDescent="0.3">
      <c r="A4" s="57" t="s">
        <v>172</v>
      </c>
      <c r="B4" s="58">
        <v>1.4999999999999999E-2</v>
      </c>
    </row>
    <row r="5" spans="1:2" x14ac:dyDescent="0.3">
      <c r="A5" s="61" t="s">
        <v>173</v>
      </c>
      <c r="B5" s="62">
        <f>(1-(1+B3)^-B2)/B3</f>
        <v>8.3166053225779368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D3455-C92C-4906-8B30-58766278DBED}">
  <dimension ref="A1:B4"/>
  <sheetViews>
    <sheetView workbookViewId="0">
      <selection activeCell="A39" sqref="A39"/>
    </sheetView>
  </sheetViews>
  <sheetFormatPr defaultRowHeight="14.4" x14ac:dyDescent="0.3"/>
  <cols>
    <col min="1" max="1" width="31.77734375" customWidth="1"/>
    <col min="2" max="2" width="11.77734375" customWidth="1"/>
  </cols>
  <sheetData>
    <row r="1" spans="1:2" x14ac:dyDescent="0.3">
      <c r="A1" s="63" t="s">
        <v>0</v>
      </c>
      <c r="B1" s="64" t="s">
        <v>1</v>
      </c>
    </row>
    <row r="2" spans="1:2" x14ac:dyDescent="0.3">
      <c r="A2" s="63" t="s">
        <v>174</v>
      </c>
      <c r="B2" s="64">
        <v>19389</v>
      </c>
    </row>
    <row r="3" spans="1:2" x14ac:dyDescent="0.3">
      <c r="A3" s="63" t="s">
        <v>175</v>
      </c>
      <c r="B3" s="64">
        <v>14395</v>
      </c>
    </row>
    <row r="4" spans="1:2" x14ac:dyDescent="0.3">
      <c r="A4" s="63" t="s">
        <v>176</v>
      </c>
      <c r="B4" s="64">
        <v>4994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general_parameters</vt:lpstr>
      <vt:lpstr>dwellingbytypology</vt:lpstr>
      <vt:lpstr>pop_employ</vt:lpstr>
      <vt:lpstr>transport_modal</vt:lpstr>
      <vt:lpstr>carbon</vt:lpstr>
      <vt:lpstr>environ_wellbeing</vt:lpstr>
      <vt:lpstr>active_travel</vt:lpstr>
      <vt:lpstr>crime</vt:lpstr>
      <vt:lpstr>economic_coeff</vt:lpstr>
      <vt:lpstr>household_spend</vt:lpstr>
      <vt:lpstr>additionality_mappings</vt:lpstr>
      <vt:lpstr>discounting</vt:lpstr>
      <vt:lpstr>discounting_by_impact</vt:lpstr>
      <vt:lpstr>land_infra_mult</vt:lpstr>
      <vt:lpstr>civic_eng_belong</vt:lpstr>
      <vt:lpstr>commercial_floorspace</vt:lpstr>
      <vt:lpstr>discounting_controls</vt:lpstr>
      <vt:lpstr>land_value_controls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Alessia Biris</dc:creator>
  <cp:lastModifiedBy>Alessia Biris</cp:lastModifiedBy>
  <dcterms:created xsi:type="dcterms:W3CDTF">2026-08-06T10:21:02Z</dcterms:created>
  <dcterms:modified xsi:type="dcterms:W3CDTF">2026-08-07T15:28:18Z</dcterms:modified>
</cp:coreProperties>
</file>